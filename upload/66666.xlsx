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3043be37511ad6/سطح المكتب/"/>
    </mc:Choice>
  </mc:AlternateContent>
  <xr:revisionPtr revIDLastSave="0" documentId="8_{9A83A504-62A8-4ACB-A003-C5E44CC15E98}" xr6:coauthVersionLast="47" xr6:coauthVersionMax="47" xr10:uidLastSave="{00000000-0000-0000-0000-000000000000}"/>
  <bookViews>
    <workbookView xWindow="-108" yWindow="-108" windowWidth="23256" windowHeight="12456" xr2:uid="{412CD3B9-14C6-4315-B0CD-98BB2622AFF8}"/>
  </bookViews>
  <sheets>
    <sheet name="ورقة1" sheetId="1" r:id="rId1"/>
  </sheets>
  <externalReferences>
    <externalReference r:id="rId2"/>
  </externalReferences>
  <definedNames>
    <definedName name="_xlnm._FilterDatabase" localSheetId="0" hidden="1">ورقة1!$B$2:$H$302</definedName>
    <definedName name="AccountCodes">'[1]دليل الحسابات'!$A$6:$A$203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97" i="1" l="1"/>
  <c r="E295" i="1"/>
  <c r="E293" i="1"/>
  <c r="E291" i="1"/>
  <c r="E289" i="1"/>
  <c r="E288" i="1"/>
  <c r="E285" i="1"/>
  <c r="E283" i="1"/>
  <c r="E281" i="1"/>
  <c r="E279" i="1"/>
  <c r="E277" i="1"/>
  <c r="E275" i="1"/>
  <c r="E273" i="1"/>
  <c r="E271" i="1"/>
  <c r="E269" i="1"/>
  <c r="E267" i="1"/>
  <c r="E265" i="1"/>
  <c r="E263" i="1"/>
  <c r="E261" i="1"/>
  <c r="E259" i="1"/>
  <c r="E257" i="1"/>
  <c r="E255" i="1"/>
  <c r="E253" i="1"/>
  <c r="E251" i="1"/>
  <c r="E249" i="1"/>
  <c r="E243" i="1"/>
  <c r="E217" i="1"/>
  <c r="E211" i="1"/>
  <c r="E185" i="1"/>
  <c r="E169" i="1"/>
  <c r="E165" i="1"/>
  <c r="E145" i="1"/>
  <c r="E105" i="1"/>
  <c r="E77" i="1"/>
  <c r="E71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6E91D394-6089-4FB2-9BEA-8A69C9BFF6F2}">
      <text>
        <r>
          <rPr>
            <sz val="11"/>
            <color theme="1"/>
            <rFont val="Calibri"/>
            <family val="2"/>
            <charset val="1"/>
          </rPr>
          <t>اكتب الرقم نفسه في جميع أسطر القيد الواحد.</t>
        </r>
      </text>
    </comment>
    <comment ref="F2" authorId="0" shapeId="0" xr:uid="{302241F6-004B-4E8B-B809-AF9353C46CBB}">
      <text>
        <r>
          <rPr>
            <sz val="11"/>
            <color theme="1"/>
            <rFont val="Calibri"/>
            <family val="2"/>
            <charset val="1"/>
          </rPr>
          <t>لا يُسمح بوجود مبلغ في المدين والدائن في السطر نفسه.</t>
        </r>
      </text>
    </comment>
  </commentList>
</comments>
</file>

<file path=xl/sharedStrings.xml><?xml version="1.0" encoding="utf-8"?>
<sst xmlns="http://schemas.openxmlformats.org/spreadsheetml/2006/main" count="466" uniqueCount="108">
  <si>
    <t>تاريخ القيد</t>
  </si>
  <si>
    <t>رقم القيد</t>
  </si>
  <si>
    <t>كود الحساب</t>
  </si>
  <si>
    <t>مدين</t>
  </si>
  <si>
    <t>دائن</t>
  </si>
  <si>
    <t>البيان</t>
  </si>
  <si>
    <t>نقل العفش والمكن والعدة</t>
  </si>
  <si>
    <t>اثبات مساهمة حسام  المحول الى ليلى 200 الف ومنبقى لديها 82600</t>
  </si>
  <si>
    <t>اثبات مساهمة محمود تصفيىة الصندوق في 18-7-2026</t>
  </si>
  <si>
    <t>محمد ايمن تطليع ونقل العدةوالمكن والعفش</t>
  </si>
  <si>
    <t>فاتورة صاج لتأسيس جبس المعرض</t>
  </si>
  <si>
    <t>اتياش لتاسيس جبس المعرض</t>
  </si>
  <si>
    <t>عربون يافطه</t>
  </si>
  <si>
    <t>اشتراك جي بي تي</t>
  </si>
  <si>
    <t>فطار صنايعية</t>
  </si>
  <si>
    <t>شراء اركت كهربائي</t>
  </si>
  <si>
    <t>وائل نظافة وتشوية</t>
  </si>
  <si>
    <t>فاتورة كهرباء 6عود ماجنتيك</t>
  </si>
  <si>
    <t>نقل وحدات وكشف السباكة</t>
  </si>
  <si>
    <t>حسام الكهربائي</t>
  </si>
  <si>
    <t xml:space="preserve"> راس مال من محمود الرحيمي تصفية قديمة</t>
  </si>
  <si>
    <t>رمل واسمنت</t>
  </si>
  <si>
    <t>مصنعية سباكة</t>
  </si>
  <si>
    <t xml:space="preserve">مصنعيات هاني </t>
  </si>
  <si>
    <t>مصنعيات محمد ايمن</t>
  </si>
  <si>
    <t>ايجار الورشة</t>
  </si>
  <si>
    <t>اسمنت وطوب</t>
  </si>
  <si>
    <t>تقفيل حساب عبدالحميد الشافعي</t>
  </si>
  <si>
    <t>حساب البنا</t>
  </si>
  <si>
    <t>كاميرات</t>
  </si>
  <si>
    <t>شراء خشب للصندرة</t>
  </si>
  <si>
    <t>دخان مخزن</t>
  </si>
  <si>
    <t>فاتورة سباكة</t>
  </si>
  <si>
    <t>نقل</t>
  </si>
  <si>
    <t>م / بسنت تصميمات</t>
  </si>
  <si>
    <t>عبد الحميد الشافعي</t>
  </si>
  <si>
    <t>مصنع السلطان تقفيل التقطيع القديم</t>
  </si>
  <si>
    <t>هاني المحمدي</t>
  </si>
  <si>
    <t>احمد محمد</t>
  </si>
  <si>
    <t>شراء خشب موسكي</t>
  </si>
  <si>
    <t>رفايع حدايد</t>
  </si>
  <si>
    <t>فاتورة كهرباء 1</t>
  </si>
  <si>
    <t>بنزين</t>
  </si>
  <si>
    <t xml:space="preserve">مشبك </t>
  </si>
  <si>
    <t>خشب وكونتر لتجاليد المعرض</t>
  </si>
  <si>
    <t>محلات احمد يحي</t>
  </si>
  <si>
    <t>فاتورة كهرباء</t>
  </si>
  <si>
    <t>2كرتونة فوم</t>
  </si>
  <si>
    <t xml:space="preserve">فاتورة كهرباء </t>
  </si>
  <si>
    <t>تصميمات</t>
  </si>
  <si>
    <t>حسام النقاش</t>
  </si>
  <si>
    <t>نثريات</t>
  </si>
  <si>
    <t>فاتورة جبس</t>
  </si>
  <si>
    <t>عينات للوجو</t>
  </si>
  <si>
    <t>مطبخ سارة</t>
  </si>
  <si>
    <t>درج معالق</t>
  </si>
  <si>
    <t>علي الشرقاوي اكسسوارات</t>
  </si>
  <si>
    <t xml:space="preserve"> محمد فتحي ( المرور )</t>
  </si>
  <si>
    <t>خامات لتعديل صرف</t>
  </si>
  <si>
    <t>2ريموت لورشة الشلالفة</t>
  </si>
  <si>
    <t>كورنر ليد</t>
  </si>
  <si>
    <t>شركة ايجيبشال</t>
  </si>
  <si>
    <t>شحن واكرامية</t>
  </si>
  <si>
    <t>تركيب جبس المعرض</t>
  </si>
  <si>
    <t xml:space="preserve">معرض الرحيمي </t>
  </si>
  <si>
    <t>احمد الجنايني الحداد</t>
  </si>
  <si>
    <t>تقطيع ولزق شريط مطبخ سارة ووحدات</t>
  </si>
  <si>
    <t>كشف كهرباء</t>
  </si>
  <si>
    <t>طبلوه ديكور</t>
  </si>
  <si>
    <t>مصممة</t>
  </si>
  <si>
    <t>فوفو</t>
  </si>
  <si>
    <t>خطوط فودافون</t>
  </si>
  <si>
    <t>شراء عدة</t>
  </si>
  <si>
    <t>نثريات شاي وقهوة</t>
  </si>
  <si>
    <t>محلات احمد يحي تصفية القديم</t>
  </si>
  <si>
    <t xml:space="preserve"> مورد احمد يحيى فاتورة رقم 1 </t>
  </si>
  <si>
    <t xml:space="preserve"> مورد احمد يحيى فاتورة رقم1</t>
  </si>
  <si>
    <t xml:space="preserve"> مورد احمد يحيى فاتورة رقم 2</t>
  </si>
  <si>
    <t xml:space="preserve"> مورد احمد يحيى فاتورة رقم2</t>
  </si>
  <si>
    <t xml:space="preserve"> مورد احمد يحيى فاتورة رقم3</t>
  </si>
  <si>
    <t xml:space="preserve"> مورد احمد يحيى فاتورة رقم 4</t>
  </si>
  <si>
    <t xml:space="preserve"> مورد احمد يحيى فاتورة رقم 5  ( مراجعة سعر المجري )</t>
  </si>
  <si>
    <t xml:space="preserve"> مورد احمد يحيى فاتورة رقم6</t>
  </si>
  <si>
    <t xml:space="preserve"> مورد احمد يحيى فاتورة رقم 6</t>
  </si>
  <si>
    <t xml:space="preserve"> مورد احمد يحيى فاتورة رقم7</t>
  </si>
  <si>
    <t xml:space="preserve"> مورد احمد يحيى فاتورة رقم8</t>
  </si>
  <si>
    <t>فاتورة شراء خشب سويد</t>
  </si>
  <si>
    <t>خشب سويد + فايبر</t>
  </si>
  <si>
    <t>فايبر</t>
  </si>
  <si>
    <t>فاتورة (مطبخ سارة )</t>
  </si>
  <si>
    <t>فاتورة ( محمد فتحي )</t>
  </si>
  <si>
    <t>فاتورة ( الرحيمي )</t>
  </si>
  <si>
    <t xml:space="preserve">مرتجع لوح ( الرحيمي ) </t>
  </si>
  <si>
    <t>ف مبيعات االرحيمى ؤقم 1و2</t>
  </si>
  <si>
    <t>ف مبيعات االرحيمى ؤقم 3</t>
  </si>
  <si>
    <t>الصندوق</t>
  </si>
  <si>
    <t>رأس المال</t>
  </si>
  <si>
    <t>صيانة وتصليحات</t>
  </si>
  <si>
    <t>إيرادات المبيعات</t>
  </si>
  <si>
    <t>إيجار المصنع</t>
  </si>
  <si>
    <t>مرتبات وأجور</t>
  </si>
  <si>
    <t>شحن وتوصيل</t>
  </si>
  <si>
    <t>عميل 1 معرض الرحيمى</t>
  </si>
  <si>
    <t>عميل 2 مطبخ سارة</t>
  </si>
  <si>
    <t>عميل 3 محمد فتحى المرور</t>
  </si>
  <si>
    <t>مورد 1 عبد الحميد الشافعى</t>
  </si>
  <si>
    <t>مورد 2 احمد يحيى</t>
  </si>
  <si>
    <t>مورد 3 شركة اشبيجيال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</si>
</sst>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Arial"/>
      <family val="2"/>
      <charset val="178"/>
      <scheme val="minor"/>
    </font>
    <font>
      <b/>
      <sz val="10"/>
      <color rgb="FFFFFFFF"/>
      <name val="Arial"/>
      <family val="2"/>
    </font>
    <font>
      <sz val="10"/>
      <color rgb="FF1F1F1F"/>
      <name val="Arial"/>
      <family val="2"/>
    </font>
    <font>
      <sz val="11"/>
      <color theme="1"/>
      <name val="Calibri"/>
      <family val="2"/>
      <charset val="1"/>
    </font>
    <font>
      <sz val="8"/>
      <color theme="1"/>
      <name val="Geist Mono"/>
    </font>
    <font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4F81BD"/>
      </patternFill>
    </fill>
    <fill>
      <patternFill patternType="solid">
        <fgColor rgb="FFFFF2CC"/>
        <bgColor rgb="FFFCE4D6"/>
      </patternFill>
    </fill>
    <fill>
      <patternFill patternType="solid">
        <fgColor rgb="FFE7EEF8"/>
        <bgColor rgb="FFEEF5FB"/>
      </patternFill>
    </fill>
  </fills>
  <borders count="4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horizontal="right" vertical="center" wrapText="1" indent="1"/>
    </xf>
    <xf numFmtId="0" fontId="5" fillId="0" borderId="3" xfId="0" applyFont="1" applyBorder="1" applyAlignment="1">
      <alignment horizontal="right" vertical="center" wrapText="1" indent="1"/>
    </xf>
    <xf numFmtId="0" fontId="6" fillId="0" borderId="3" xfId="0" applyFont="1" applyBorder="1" applyAlignment="1">
      <alignment horizontal="right" vertical="center" wrapText="1" indent="1"/>
    </xf>
  </cellXfs>
  <cellStyles count="1">
    <cellStyle name="عادي" xfId="0" builtinId="0"/>
  </cellStyles>
  <dxfs count="5"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F6F8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ossa\Downloads\&#1606;&#1592;&#1575;&#1605;_&#1575;&#1604;&#1602;&#1610;&#1608;&#1583;_&#1575;&#1604;&#1610;&#1608;&#1605;&#1610;&#1577;_&#1575;&#1604;&#1605;&#1591;&#1608;&#1585;%20(2).xlsx" TargetMode="External"/><Relationship Id="rId1" Type="http://schemas.openxmlformats.org/officeDocument/2006/relationships/externalLinkPath" Target="file:///C:\Users\hossa\Downloads\&#1606;&#1592;&#1575;&#1605;_&#1575;&#1604;&#1602;&#1610;&#1608;&#1583;_&#1575;&#1604;&#1610;&#1608;&#1605;&#1610;&#1577;_&#1575;&#1604;&#1605;&#1591;&#1608;&#1585;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لوحة التحكم"/>
      <sheetName val="القيود اليومية"/>
      <sheetName val="دليل الحسابات"/>
      <sheetName val="ميزان المراجعة"/>
      <sheetName val="الأستاذ العام"/>
      <sheetName val="قائمة الدخل"/>
      <sheetName val="العملاء"/>
      <sheetName val="الموردون"/>
      <sheetName val="الملخص الشهري"/>
      <sheetName val="مراكز التكلفة"/>
      <sheetName val="إعدادات"/>
      <sheetName val="دليل الاستخدام"/>
    </sheetNames>
    <sheetDataSet>
      <sheetData sheetId="0"/>
      <sheetData sheetId="1"/>
      <sheetData sheetId="2">
        <row r="5">
          <cell r="A5" t="str">
            <v>كود الحساب</v>
          </cell>
          <cell r="B5" t="str">
            <v>اسم الحساب</v>
          </cell>
          <cell r="C5" t="str">
            <v>نوع الحساب</v>
          </cell>
          <cell r="D5" t="str">
            <v>الطبيعة</v>
          </cell>
          <cell r="E5" t="str">
            <v>تصنيف القوائم</v>
          </cell>
        </row>
        <row r="6">
          <cell r="A6">
            <v>1101</v>
          </cell>
          <cell r="B6" t="str">
            <v>الصندوق / النقدية</v>
          </cell>
          <cell r="C6" t="str">
            <v>أصول متداولة</v>
          </cell>
          <cell r="D6" t="str">
            <v>مدين</v>
          </cell>
          <cell r="E6" t="str">
            <v>الميزانية العمومية</v>
          </cell>
        </row>
        <row r="7">
          <cell r="A7">
            <v>1102</v>
          </cell>
          <cell r="B7" t="str">
            <v>البنك</v>
          </cell>
          <cell r="C7" t="str">
            <v>أصول متداولة</v>
          </cell>
          <cell r="D7" t="str">
            <v>مدين</v>
          </cell>
          <cell r="E7" t="str">
            <v>الميزانية العمومية</v>
          </cell>
        </row>
        <row r="8">
          <cell r="A8">
            <v>1201</v>
          </cell>
          <cell r="B8" t="str">
            <v>العملاء</v>
          </cell>
          <cell r="C8" t="str">
            <v>أصول متداولة</v>
          </cell>
          <cell r="D8" t="str">
            <v>مدين</v>
          </cell>
          <cell r="E8" t="str">
            <v>الميزانية العمومية</v>
          </cell>
        </row>
        <row r="9">
          <cell r="A9">
            <v>1202</v>
          </cell>
          <cell r="B9" t="str">
            <v xml:space="preserve"> عميل - معرض الرحيمى</v>
          </cell>
          <cell r="C9" t="str">
            <v>أصول متداولة</v>
          </cell>
          <cell r="D9" t="str">
            <v>مدين</v>
          </cell>
          <cell r="E9" t="str">
            <v>الميزانية العمومية</v>
          </cell>
        </row>
        <row r="10">
          <cell r="A10">
            <v>1203</v>
          </cell>
          <cell r="B10" t="str">
            <v xml:space="preserve">عميل - مطبخ سارة </v>
          </cell>
          <cell r="C10" t="str">
            <v>أصول متداولة</v>
          </cell>
          <cell r="D10" t="str">
            <v>مدين</v>
          </cell>
          <cell r="E10" t="str">
            <v>الميزانية العمومية</v>
          </cell>
        </row>
        <row r="11">
          <cell r="A11">
            <v>1204</v>
          </cell>
          <cell r="B11" t="str">
            <v>عميل  - محمد فتحى ( المرور)</v>
          </cell>
          <cell r="C11" t="str">
            <v>أصول متداولة</v>
          </cell>
          <cell r="D11" t="str">
            <v>مدين</v>
          </cell>
          <cell r="E11" t="str">
            <v>الميزانية العمومية</v>
          </cell>
        </row>
        <row r="12">
          <cell r="A12">
            <v>2101</v>
          </cell>
          <cell r="B12" t="str">
            <v>الموردين</v>
          </cell>
          <cell r="C12" t="str">
            <v>التزامات متداولة</v>
          </cell>
          <cell r="D12" t="str">
            <v>دائن</v>
          </cell>
          <cell r="E12" t="str">
            <v>الميزانية العمومية</v>
          </cell>
        </row>
        <row r="13">
          <cell r="A13">
            <v>2102</v>
          </cell>
          <cell r="B13" t="str">
            <v>مورد - عبد الحميد الشافعى</v>
          </cell>
          <cell r="C13" t="str">
            <v>التزامات متداولة</v>
          </cell>
          <cell r="D13" t="str">
            <v>دائن</v>
          </cell>
          <cell r="E13" t="str">
            <v>الميزانية العمومية</v>
          </cell>
        </row>
        <row r="14">
          <cell r="A14">
            <v>2103</v>
          </cell>
          <cell r="B14" t="str">
            <v>مورد  - احمد يحيى</v>
          </cell>
          <cell r="C14" t="str">
            <v>التزامات متداولة</v>
          </cell>
          <cell r="D14" t="str">
            <v>دائن</v>
          </cell>
          <cell r="E14" t="str">
            <v>الميزانية العمومية</v>
          </cell>
        </row>
        <row r="15">
          <cell r="A15">
            <v>2104</v>
          </cell>
          <cell r="B15" t="str">
            <v xml:space="preserve">مورد - شركة اشيجبشيال </v>
          </cell>
          <cell r="C15" t="str">
            <v>التزامات متداولة</v>
          </cell>
          <cell r="D15" t="str">
            <v>دائن</v>
          </cell>
          <cell r="E15" t="str">
            <v>الميزانية العمومية</v>
          </cell>
        </row>
        <row r="16">
          <cell r="A16">
            <v>3101</v>
          </cell>
          <cell r="B16" t="str">
            <v>رأس المال</v>
          </cell>
          <cell r="C16" t="str">
            <v>حقوق ملكية</v>
          </cell>
          <cell r="D16" t="str">
            <v>دائن</v>
          </cell>
          <cell r="E16" t="str">
            <v>الميزانية العمومية</v>
          </cell>
        </row>
        <row r="17">
          <cell r="A17">
            <v>3102</v>
          </cell>
          <cell r="B17" t="str">
            <v>مساهمة محمود عنبر في راس المال</v>
          </cell>
          <cell r="C17" t="str">
            <v>حقوق ملكية</v>
          </cell>
          <cell r="D17" t="str">
            <v>دائن</v>
          </cell>
          <cell r="E17" t="str">
            <v>الميزانية العمومية</v>
          </cell>
        </row>
        <row r="18">
          <cell r="A18">
            <v>3103</v>
          </cell>
          <cell r="B18" t="str">
            <v>مساهمة حسام على في راس المال</v>
          </cell>
          <cell r="C18" t="str">
            <v>حقوق ملكية</v>
          </cell>
          <cell r="D18" t="str">
            <v>دائن</v>
          </cell>
          <cell r="E18" t="str">
            <v>الميزانية العمومية</v>
          </cell>
        </row>
        <row r="19">
          <cell r="A19">
            <v>4101</v>
          </cell>
          <cell r="B19" t="str">
            <v>المبيعات</v>
          </cell>
          <cell r="C19" t="str">
            <v>إيرادات</v>
          </cell>
          <cell r="D19" t="str">
            <v>دائن</v>
          </cell>
          <cell r="E19" t="str">
            <v>قائمة الدخل</v>
          </cell>
        </row>
        <row r="20">
          <cell r="A20">
            <v>4102</v>
          </cell>
          <cell r="B20" t="str">
            <v>الإيرادات الأخرى</v>
          </cell>
          <cell r="C20" t="str">
            <v>إيرادات</v>
          </cell>
          <cell r="D20" t="str">
            <v>دائن</v>
          </cell>
          <cell r="E20" t="str">
            <v>قائمة الدخل</v>
          </cell>
        </row>
        <row r="21">
          <cell r="A21">
            <v>5101</v>
          </cell>
          <cell r="B21" t="str">
            <v>المشتريات</v>
          </cell>
          <cell r="C21" t="str">
            <v>تكلفة المبيعات</v>
          </cell>
          <cell r="D21" t="str">
            <v>مدين</v>
          </cell>
          <cell r="E21" t="str">
            <v>قائمة الدخل</v>
          </cell>
        </row>
        <row r="22">
          <cell r="A22">
            <v>5201</v>
          </cell>
          <cell r="B22" t="str">
            <v>المصروفات العمومية والإدارية</v>
          </cell>
          <cell r="C22" t="str">
            <v>مصروفات</v>
          </cell>
          <cell r="D22" t="str">
            <v>مدين</v>
          </cell>
          <cell r="E22" t="str">
            <v>قائمة الدخل</v>
          </cell>
        </row>
        <row r="23">
          <cell r="A23">
            <v>5301</v>
          </cell>
          <cell r="B23" t="str">
            <v>مصروفات تقطيع ولزق شريط</v>
          </cell>
          <cell r="C23" t="str">
            <v>مصروفات</v>
          </cell>
          <cell r="D23" t="str">
            <v>مدين</v>
          </cell>
          <cell r="E23" t="str">
            <v>قائمة الدخل</v>
          </cell>
        </row>
        <row r="24">
          <cell r="A24">
            <v>5401</v>
          </cell>
          <cell r="B24" t="str">
            <v>مصروف ااستهلاك الكهرباء</v>
          </cell>
          <cell r="C24" t="str">
            <v>مصروفات</v>
          </cell>
          <cell r="D24" t="str">
            <v>مدين</v>
          </cell>
          <cell r="E24" t="str">
            <v>قائمة الدخل</v>
          </cell>
        </row>
        <row r="25">
          <cell r="A25">
            <v>5501</v>
          </cell>
          <cell r="B25" t="str">
            <v>مصروف النقل والشحن</v>
          </cell>
          <cell r="C25" t="str">
            <v>مصروفات</v>
          </cell>
          <cell r="D25" t="str">
            <v>مدين</v>
          </cell>
          <cell r="E25" t="str">
            <v>قائمة الدخل</v>
          </cell>
        </row>
        <row r="26">
          <cell r="A26">
            <v>5601</v>
          </cell>
          <cell r="B26" t="str">
            <v>مصروفات الرواتب والأجور</v>
          </cell>
          <cell r="C26" t="str">
            <v>مصروفات</v>
          </cell>
          <cell r="D26" t="str">
            <v>مدين</v>
          </cell>
          <cell r="E26" t="str">
            <v>قائمة الدخل</v>
          </cell>
        </row>
        <row r="27">
          <cell r="A27">
            <v>5701</v>
          </cell>
          <cell r="B27" t="str">
            <v>مصروفات تصميم ورسومات هندسية</v>
          </cell>
          <cell r="C27" t="str">
            <v>مصروفات</v>
          </cell>
          <cell r="D27" t="str">
            <v>مدين</v>
          </cell>
          <cell r="E27" t="str">
            <v>قائمة الدخل</v>
          </cell>
        </row>
        <row r="28">
          <cell r="A28">
            <v>5801</v>
          </cell>
          <cell r="B28" t="str">
            <v xml:space="preserve">مصروفات التاسيس </v>
          </cell>
          <cell r="C28" t="str">
            <v>مصروفات</v>
          </cell>
          <cell r="D28" t="str">
            <v>مدين</v>
          </cell>
          <cell r="E28" t="str">
            <v>قائمة الدخل</v>
          </cell>
        </row>
        <row r="29">
          <cell r="A29">
            <v>5901</v>
          </cell>
          <cell r="B29" t="str">
            <v xml:space="preserve">مصروفات الايجارات </v>
          </cell>
          <cell r="C29" t="str">
            <v>مصروفات</v>
          </cell>
          <cell r="D29" t="str">
            <v>مدين</v>
          </cell>
          <cell r="E29" t="str">
            <v>قائمة الدخل</v>
          </cell>
        </row>
        <row r="30">
          <cell r="A30">
            <v>5902</v>
          </cell>
          <cell r="B30" t="str">
            <v xml:space="preserve">مصروفات نثرية </v>
          </cell>
          <cell r="C30" t="str">
            <v>مصروفات</v>
          </cell>
          <cell r="D30" t="str">
            <v>مدين</v>
          </cell>
          <cell r="E30" t="str">
            <v>قائمة الدخل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BBC1-C1E5-406F-ACCB-ABF92E7F8642}">
  <dimension ref="B1:H302"/>
  <sheetViews>
    <sheetView rightToLeft="1" tabSelected="1" topLeftCell="A137" workbookViewId="0">
      <selection activeCell="K179" sqref="K179"/>
    </sheetView>
  </sheetViews>
  <sheetFormatPr defaultRowHeight="13.8"/>
  <cols>
    <col min="2" max="2" width="13.19921875" customWidth="1"/>
    <col min="4" max="4" width="12.8984375" customWidth="1"/>
    <col min="5" max="5" width="18.3984375" customWidth="1"/>
    <col min="8" max="8" width="43.796875" customWidth="1"/>
  </cols>
  <sheetData>
    <row r="1" spans="2:8" ht="14.4" thickBot="1"/>
    <row r="2" spans="2:8" ht="14.4" thickBot="1">
      <c r="B2" s="1" t="s">
        <v>0</v>
      </c>
      <c r="C2" s="2" t="s">
        <v>1</v>
      </c>
      <c r="D2" s="2" t="s">
        <v>2</v>
      </c>
      <c r="E2" s="3" t="str">
        <f>IFERROR(VLOOKUP(D2,'[1]دليل الحسابات'!$A$5:$E$102,2,0),"")</f>
        <v>اسم الحساب</v>
      </c>
      <c r="F2" s="4" t="s">
        <v>3</v>
      </c>
      <c r="G2" s="4" t="s">
        <v>4</v>
      </c>
      <c r="H2" s="3" t="s">
        <v>5</v>
      </c>
    </row>
    <row r="3" spans="2:8" ht="17.399999999999999">
      <c r="B3" s="5">
        <v>46179</v>
      </c>
      <c r="C3" s="6">
        <v>1</v>
      </c>
      <c r="D3" s="10">
        <v>5015</v>
      </c>
      <c r="E3" s="11" t="s">
        <v>97</v>
      </c>
      <c r="F3" s="8">
        <v>600</v>
      </c>
      <c r="G3" s="8"/>
      <c r="H3" s="9" t="s">
        <v>6</v>
      </c>
    </row>
    <row r="4" spans="2:8" ht="18" thickBot="1">
      <c r="B4" s="5">
        <v>46179</v>
      </c>
      <c r="C4" s="6">
        <v>1</v>
      </c>
      <c r="D4" s="10">
        <v>1111</v>
      </c>
      <c r="E4" s="14" t="s">
        <v>95</v>
      </c>
      <c r="F4" s="8"/>
      <c r="G4" s="8">
        <v>600</v>
      </c>
      <c r="H4" s="9" t="s">
        <v>6</v>
      </c>
    </row>
    <row r="5" spans="2:8" ht="18" thickBot="1">
      <c r="B5" s="5">
        <v>46179</v>
      </c>
      <c r="C5" s="6">
        <v>2</v>
      </c>
      <c r="D5" s="10">
        <v>1111</v>
      </c>
      <c r="E5" s="14" t="s">
        <v>95</v>
      </c>
      <c r="F5" s="8">
        <v>117400</v>
      </c>
      <c r="G5" s="8"/>
      <c r="H5" s="9" t="s">
        <v>7</v>
      </c>
    </row>
    <row r="6" spans="2:8" ht="17.399999999999999">
      <c r="B6" s="5">
        <v>46179</v>
      </c>
      <c r="C6" s="6">
        <v>2</v>
      </c>
      <c r="D6" s="10">
        <v>3001</v>
      </c>
      <c r="E6" s="11" t="s">
        <v>96</v>
      </c>
      <c r="F6" s="8"/>
      <c r="G6" s="8">
        <v>117400</v>
      </c>
      <c r="H6" s="9" t="s">
        <v>7</v>
      </c>
    </row>
    <row r="7" spans="2:8" ht="18" thickBot="1">
      <c r="B7" s="5">
        <v>46179</v>
      </c>
      <c r="C7" s="6">
        <v>2.5</v>
      </c>
      <c r="D7" s="10">
        <v>1111</v>
      </c>
      <c r="E7" s="14" t="s">
        <v>95</v>
      </c>
      <c r="F7" s="8">
        <v>96314</v>
      </c>
      <c r="G7" s="8"/>
      <c r="H7" s="9" t="s">
        <v>8</v>
      </c>
    </row>
    <row r="8" spans="2:8" ht="17.399999999999999">
      <c r="B8" s="5">
        <v>46179</v>
      </c>
      <c r="C8" s="6">
        <v>3</v>
      </c>
      <c r="D8" s="10">
        <v>3001</v>
      </c>
      <c r="E8" s="11" t="s">
        <v>96</v>
      </c>
      <c r="F8" s="8"/>
      <c r="G8" s="8">
        <v>96314</v>
      </c>
      <c r="H8" s="9" t="s">
        <v>8</v>
      </c>
    </row>
    <row r="9" spans="2:8" ht="17.399999999999999">
      <c r="B9" s="5">
        <v>46179</v>
      </c>
      <c r="C9" s="6">
        <v>4</v>
      </c>
      <c r="D9" s="10">
        <v>5015</v>
      </c>
      <c r="E9" s="11" t="s">
        <v>97</v>
      </c>
      <c r="F9" s="8">
        <v>1000</v>
      </c>
      <c r="G9" s="8"/>
      <c r="H9" s="9" t="s">
        <v>9</v>
      </c>
    </row>
    <row r="10" spans="2:8" ht="18" thickBot="1">
      <c r="B10" s="5">
        <v>46179</v>
      </c>
      <c r="C10" s="6">
        <v>4</v>
      </c>
      <c r="D10" s="10">
        <v>1111</v>
      </c>
      <c r="E10" s="14" t="s">
        <v>95</v>
      </c>
      <c r="F10" s="8"/>
      <c r="G10" s="8">
        <v>1000</v>
      </c>
      <c r="H10" s="9" t="s">
        <v>9</v>
      </c>
    </row>
    <row r="11" spans="2:8" ht="17.399999999999999">
      <c r="B11" s="5">
        <v>46179</v>
      </c>
      <c r="C11" s="6">
        <v>4.5535714285714297</v>
      </c>
      <c r="D11" s="10">
        <v>5015</v>
      </c>
      <c r="E11" s="11" t="s">
        <v>97</v>
      </c>
      <c r="F11" s="8">
        <v>2810</v>
      </c>
      <c r="G11" s="8"/>
      <c r="H11" s="9" t="s">
        <v>10</v>
      </c>
    </row>
    <row r="12" spans="2:8" ht="18" thickBot="1">
      <c r="B12" s="5">
        <v>46179</v>
      </c>
      <c r="C12" s="6">
        <v>5.0238095238095299</v>
      </c>
      <c r="D12" s="10">
        <v>1111</v>
      </c>
      <c r="E12" s="14" t="s">
        <v>95</v>
      </c>
      <c r="F12" s="8"/>
      <c r="G12" s="8">
        <v>2810</v>
      </c>
      <c r="H12" s="9" t="s">
        <v>10</v>
      </c>
    </row>
    <row r="13" spans="2:8" ht="17.399999999999999">
      <c r="B13" s="5">
        <v>46180</v>
      </c>
      <c r="C13" s="6">
        <v>6</v>
      </c>
      <c r="D13" s="10">
        <v>5015</v>
      </c>
      <c r="E13" s="11" t="s">
        <v>97</v>
      </c>
      <c r="F13" s="8">
        <v>800</v>
      </c>
      <c r="G13" s="8"/>
      <c r="H13" s="9" t="s">
        <v>11</v>
      </c>
    </row>
    <row r="14" spans="2:8" ht="18" thickBot="1">
      <c r="B14" s="5">
        <v>46180</v>
      </c>
      <c r="C14" s="6">
        <v>6</v>
      </c>
      <c r="D14" s="10">
        <v>1111</v>
      </c>
      <c r="E14" s="14" t="s">
        <v>95</v>
      </c>
      <c r="F14" s="8"/>
      <c r="G14" s="8">
        <v>800</v>
      </c>
      <c r="H14" s="9" t="s">
        <v>11</v>
      </c>
    </row>
    <row r="15" spans="2:8" ht="17.399999999999999">
      <c r="B15" s="5">
        <v>46180</v>
      </c>
      <c r="C15" s="6">
        <v>6.7232142857142803</v>
      </c>
      <c r="D15" s="10">
        <v>5015</v>
      </c>
      <c r="E15" s="11" t="s">
        <v>97</v>
      </c>
      <c r="F15" s="8">
        <v>1000</v>
      </c>
      <c r="G15" s="8"/>
      <c r="H15" s="9" t="s">
        <v>12</v>
      </c>
    </row>
    <row r="16" spans="2:8" ht="18" thickBot="1">
      <c r="B16" s="5">
        <v>46180</v>
      </c>
      <c r="C16" s="6">
        <v>7.2547619047619003</v>
      </c>
      <c r="D16" s="10">
        <v>1111</v>
      </c>
      <c r="E16" s="14" t="s">
        <v>95</v>
      </c>
      <c r="F16" s="8"/>
      <c r="G16" s="8">
        <v>1000</v>
      </c>
      <c r="H16" s="9" t="s">
        <v>12</v>
      </c>
    </row>
    <row r="17" spans="2:8" ht="17.399999999999999">
      <c r="B17" s="5">
        <v>46180</v>
      </c>
      <c r="C17" s="6">
        <v>7.7863095238095203</v>
      </c>
      <c r="D17" s="10">
        <v>5015</v>
      </c>
      <c r="E17" s="11" t="s">
        <v>97</v>
      </c>
      <c r="F17" s="8">
        <v>1000</v>
      </c>
      <c r="G17" s="8"/>
      <c r="H17" s="9" t="s">
        <v>13</v>
      </c>
    </row>
    <row r="18" spans="2:8" ht="18" thickBot="1">
      <c r="B18" s="5">
        <v>46180</v>
      </c>
      <c r="C18" s="6">
        <v>8.3178571428571395</v>
      </c>
      <c r="D18" s="10">
        <v>1111</v>
      </c>
      <c r="E18" s="14" t="s">
        <v>95</v>
      </c>
      <c r="F18" s="8"/>
      <c r="G18" s="8">
        <v>1000</v>
      </c>
      <c r="H18" s="9" t="s">
        <v>13</v>
      </c>
    </row>
    <row r="19" spans="2:8" ht="17.399999999999999">
      <c r="B19" s="5">
        <v>46181</v>
      </c>
      <c r="C19" s="6">
        <v>8.8494047619047507</v>
      </c>
      <c r="D19" s="10">
        <v>5015</v>
      </c>
      <c r="E19" s="11" t="s">
        <v>97</v>
      </c>
      <c r="F19" s="8">
        <v>200</v>
      </c>
      <c r="G19" s="8"/>
      <c r="H19" s="9" t="s">
        <v>14</v>
      </c>
    </row>
    <row r="20" spans="2:8" ht="18" thickBot="1">
      <c r="B20" s="5">
        <v>46181</v>
      </c>
      <c r="C20" s="6">
        <v>9.3809523809523707</v>
      </c>
      <c r="D20" s="10">
        <v>1111</v>
      </c>
      <c r="E20" s="14" t="s">
        <v>95</v>
      </c>
      <c r="F20" s="8"/>
      <c r="G20" s="8">
        <v>200</v>
      </c>
      <c r="H20" s="9" t="s">
        <v>14</v>
      </c>
    </row>
    <row r="21" spans="2:8" ht="17.399999999999999">
      <c r="B21" s="5">
        <v>46181</v>
      </c>
      <c r="C21" s="6">
        <v>9.9124999999999908</v>
      </c>
      <c r="D21" s="10">
        <v>5015</v>
      </c>
      <c r="E21" s="11" t="s">
        <v>97</v>
      </c>
      <c r="F21" s="8">
        <v>2500</v>
      </c>
      <c r="G21" s="8"/>
      <c r="H21" s="9" t="s">
        <v>15</v>
      </c>
    </row>
    <row r="22" spans="2:8" ht="18" thickBot="1">
      <c r="B22" s="5">
        <v>46181</v>
      </c>
      <c r="C22" s="6">
        <v>10.4440476190476</v>
      </c>
      <c r="D22" s="10">
        <v>1111</v>
      </c>
      <c r="E22" s="14" t="s">
        <v>95</v>
      </c>
      <c r="F22" s="8"/>
      <c r="G22" s="8">
        <v>2500</v>
      </c>
      <c r="H22" s="9" t="s">
        <v>15</v>
      </c>
    </row>
    <row r="23" spans="2:8" ht="17.399999999999999">
      <c r="B23" s="5">
        <v>46181</v>
      </c>
      <c r="C23" s="6">
        <v>10.975595238095201</v>
      </c>
      <c r="D23" s="10">
        <v>5015</v>
      </c>
      <c r="E23" s="11" t="s">
        <v>97</v>
      </c>
      <c r="F23" s="8">
        <v>500</v>
      </c>
      <c r="G23" s="8"/>
      <c r="H23" s="9" t="s">
        <v>16</v>
      </c>
    </row>
    <row r="24" spans="2:8" ht="18" thickBot="1">
      <c r="B24" s="5">
        <v>46181</v>
      </c>
      <c r="C24" s="6">
        <v>11.507142857142799</v>
      </c>
      <c r="D24" s="10">
        <v>1111</v>
      </c>
      <c r="E24" s="14" t="s">
        <v>95</v>
      </c>
      <c r="F24" s="8"/>
      <c r="G24" s="8">
        <v>500</v>
      </c>
      <c r="H24" s="9" t="s">
        <v>16</v>
      </c>
    </row>
    <row r="25" spans="2:8" ht="18" thickBot="1">
      <c r="B25" s="5">
        <v>46181</v>
      </c>
      <c r="C25" s="6">
        <v>12.038690476190499</v>
      </c>
      <c r="D25" s="12">
        <v>5022</v>
      </c>
      <c r="E25" s="13" t="s">
        <v>101</v>
      </c>
      <c r="F25" s="8">
        <v>2000</v>
      </c>
      <c r="G25" s="8"/>
      <c r="H25" s="9" t="s">
        <v>16</v>
      </c>
    </row>
    <row r="26" spans="2:8" ht="18" thickBot="1">
      <c r="B26" s="5">
        <v>46182</v>
      </c>
      <c r="C26" s="6">
        <v>12.5702380952381</v>
      </c>
      <c r="D26" s="10">
        <v>1111</v>
      </c>
      <c r="E26" s="14" t="s">
        <v>95</v>
      </c>
      <c r="F26" s="8"/>
      <c r="G26" s="8">
        <v>2000</v>
      </c>
      <c r="H26" s="9" t="s">
        <v>16</v>
      </c>
    </row>
    <row r="27" spans="2:8" ht="17.399999999999999">
      <c r="B27" s="5">
        <v>46182</v>
      </c>
      <c r="C27" s="6">
        <v>13.1017857142857</v>
      </c>
      <c r="D27" s="10">
        <v>5015</v>
      </c>
      <c r="E27" s="11" t="s">
        <v>97</v>
      </c>
      <c r="F27" s="8">
        <v>4300</v>
      </c>
      <c r="G27" s="8"/>
      <c r="H27" s="9" t="s">
        <v>17</v>
      </c>
    </row>
    <row r="28" spans="2:8" ht="18" thickBot="1">
      <c r="B28" s="5">
        <v>46182</v>
      </c>
      <c r="C28" s="6">
        <v>13.633333333333301</v>
      </c>
      <c r="D28" s="10">
        <v>1111</v>
      </c>
      <c r="E28" s="14" t="s">
        <v>95</v>
      </c>
      <c r="F28" s="8"/>
      <c r="G28" s="8">
        <v>4300</v>
      </c>
      <c r="H28" s="9"/>
    </row>
    <row r="29" spans="2:8" ht="17.399999999999999">
      <c r="B29" s="5">
        <v>46182</v>
      </c>
      <c r="C29" s="6">
        <v>14.1648809523809</v>
      </c>
      <c r="D29" s="10">
        <v>5015</v>
      </c>
      <c r="E29" s="11" t="s">
        <v>97</v>
      </c>
      <c r="F29" s="8">
        <v>300</v>
      </c>
      <c r="G29" s="8"/>
      <c r="H29" s="9" t="s">
        <v>18</v>
      </c>
    </row>
    <row r="30" spans="2:8" ht="18" thickBot="1">
      <c r="B30" s="5">
        <v>46182</v>
      </c>
      <c r="C30" s="6">
        <v>14.6964285714285</v>
      </c>
      <c r="D30" s="10">
        <v>1111</v>
      </c>
      <c r="E30" s="14" t="s">
        <v>95</v>
      </c>
      <c r="F30" s="8"/>
      <c r="G30" s="8">
        <v>300</v>
      </c>
      <c r="H30" s="9"/>
    </row>
    <row r="31" spans="2:8" ht="17.399999999999999">
      <c r="B31" s="5">
        <v>46182</v>
      </c>
      <c r="C31" s="6">
        <v>15.2279761904762</v>
      </c>
      <c r="D31" s="10">
        <v>5015</v>
      </c>
      <c r="E31" s="11" t="s">
        <v>97</v>
      </c>
      <c r="F31" s="8">
        <v>1000</v>
      </c>
      <c r="G31" s="8"/>
      <c r="H31" s="9" t="s">
        <v>19</v>
      </c>
    </row>
    <row r="32" spans="2:8" ht="18" thickBot="1">
      <c r="B32" s="5">
        <v>46182</v>
      </c>
      <c r="C32" s="6">
        <v>15.759523809523801</v>
      </c>
      <c r="D32" s="10">
        <v>1111</v>
      </c>
      <c r="E32" s="14" t="s">
        <v>95</v>
      </c>
      <c r="F32" s="8"/>
      <c r="G32" s="8">
        <v>1000</v>
      </c>
      <c r="H32" s="9"/>
    </row>
    <row r="33" spans="2:8" ht="18" thickBot="1">
      <c r="B33" s="5">
        <v>46183</v>
      </c>
      <c r="C33" s="6">
        <v>16.291071428571399</v>
      </c>
      <c r="D33" s="10">
        <v>1111</v>
      </c>
      <c r="E33" s="14" t="s">
        <v>95</v>
      </c>
      <c r="F33" s="8">
        <v>10000</v>
      </c>
      <c r="G33" s="8"/>
      <c r="H33" s="9" t="s">
        <v>20</v>
      </c>
    </row>
    <row r="34" spans="2:8" ht="17.399999999999999">
      <c r="B34" s="5">
        <v>46183</v>
      </c>
      <c r="C34" s="6">
        <v>16.822619047619</v>
      </c>
      <c r="D34" s="10">
        <v>3001</v>
      </c>
      <c r="E34" s="11" t="s">
        <v>96</v>
      </c>
      <c r="F34" s="8"/>
      <c r="G34" s="8">
        <v>10000</v>
      </c>
      <c r="H34" s="9" t="s">
        <v>20</v>
      </c>
    </row>
    <row r="35" spans="2:8" ht="17.399999999999999">
      <c r="B35" s="5">
        <v>46184</v>
      </c>
      <c r="C35" s="6">
        <v>17.3541666666666</v>
      </c>
      <c r="D35" s="10">
        <v>5015</v>
      </c>
      <c r="E35" s="11" t="s">
        <v>97</v>
      </c>
      <c r="F35" s="8">
        <v>350</v>
      </c>
      <c r="G35" s="8"/>
      <c r="H35" s="9" t="s">
        <v>21</v>
      </c>
    </row>
    <row r="36" spans="2:8" ht="18" thickBot="1">
      <c r="B36" s="5">
        <v>46184</v>
      </c>
      <c r="C36" s="6">
        <v>17.8857142857143</v>
      </c>
      <c r="D36" s="10">
        <v>1111</v>
      </c>
      <c r="E36" s="14" t="s">
        <v>95</v>
      </c>
      <c r="F36" s="8"/>
      <c r="G36" s="8">
        <v>350</v>
      </c>
      <c r="H36" s="9"/>
    </row>
    <row r="37" spans="2:8" ht="17.399999999999999">
      <c r="B37" s="5">
        <v>46184</v>
      </c>
      <c r="C37" s="6">
        <v>18.417261904761901</v>
      </c>
      <c r="D37" s="10">
        <v>5015</v>
      </c>
      <c r="E37" s="11" t="s">
        <v>97</v>
      </c>
      <c r="F37" s="8">
        <v>2000</v>
      </c>
      <c r="G37" s="8"/>
      <c r="H37" s="9" t="s">
        <v>22</v>
      </c>
    </row>
    <row r="38" spans="2:8" ht="18" thickBot="1">
      <c r="B38" s="5">
        <v>46184</v>
      </c>
      <c r="C38" s="6">
        <v>18.948809523809501</v>
      </c>
      <c r="D38" s="10">
        <v>1111</v>
      </c>
      <c r="E38" s="14" t="s">
        <v>95</v>
      </c>
      <c r="F38" s="8"/>
      <c r="G38" s="8">
        <v>2000</v>
      </c>
      <c r="H38" s="9"/>
    </row>
    <row r="39" spans="2:8" ht="18" thickBot="1">
      <c r="B39" s="5">
        <v>46184</v>
      </c>
      <c r="C39" s="6">
        <v>19.480357142857098</v>
      </c>
      <c r="D39" s="12">
        <v>5002</v>
      </c>
      <c r="E39" s="13" t="s">
        <v>100</v>
      </c>
      <c r="F39" s="8">
        <v>2000</v>
      </c>
      <c r="G39" s="8"/>
      <c r="H39" s="9" t="s">
        <v>23</v>
      </c>
    </row>
    <row r="40" spans="2:8" ht="18" thickBot="1">
      <c r="B40" s="5">
        <v>46184</v>
      </c>
      <c r="C40" s="6">
        <v>20.011904761904699</v>
      </c>
      <c r="D40" s="10">
        <v>1111</v>
      </c>
      <c r="E40" s="14" t="s">
        <v>95</v>
      </c>
      <c r="F40" s="8"/>
      <c r="G40" s="8">
        <v>2000</v>
      </c>
      <c r="H40" s="9"/>
    </row>
    <row r="41" spans="2:8" ht="18" thickBot="1">
      <c r="B41" s="5">
        <v>46185</v>
      </c>
      <c r="C41" s="6">
        <v>20.543452380952299</v>
      </c>
      <c r="D41" s="12">
        <v>5002</v>
      </c>
      <c r="E41" s="13" t="s">
        <v>100</v>
      </c>
      <c r="F41" s="8">
        <v>1500</v>
      </c>
      <c r="G41" s="8"/>
      <c r="H41" s="9" t="s">
        <v>24</v>
      </c>
    </row>
    <row r="42" spans="2:8" ht="18" thickBot="1">
      <c r="B42" s="5">
        <v>46185</v>
      </c>
      <c r="C42" s="6">
        <v>21.074999999999999</v>
      </c>
      <c r="D42" s="10">
        <v>1111</v>
      </c>
      <c r="E42" s="14" t="s">
        <v>95</v>
      </c>
      <c r="F42" s="8"/>
      <c r="G42" s="8">
        <v>1500</v>
      </c>
      <c r="H42" s="9"/>
    </row>
    <row r="43" spans="2:8" ht="17.399999999999999">
      <c r="B43" s="5">
        <v>46185</v>
      </c>
      <c r="C43" s="6">
        <v>21.6065476190476</v>
      </c>
      <c r="D43" s="10">
        <v>5003</v>
      </c>
      <c r="E43" s="11" t="s">
        <v>99</v>
      </c>
      <c r="F43" s="8">
        <v>2000</v>
      </c>
      <c r="G43" s="8"/>
      <c r="H43" s="9" t="s">
        <v>25</v>
      </c>
    </row>
    <row r="44" spans="2:8" ht="18" thickBot="1">
      <c r="B44" s="5">
        <v>46185</v>
      </c>
      <c r="C44" s="6">
        <v>22.1380952380952</v>
      </c>
      <c r="D44" s="10">
        <v>1111</v>
      </c>
      <c r="E44" s="14" t="s">
        <v>95</v>
      </c>
      <c r="F44" s="8"/>
      <c r="G44" s="8">
        <v>2000</v>
      </c>
      <c r="H44" s="9"/>
    </row>
    <row r="45" spans="2:8" ht="17.399999999999999">
      <c r="B45" s="5">
        <v>46185</v>
      </c>
      <c r="C45" s="6">
        <v>22.669642857142801</v>
      </c>
      <c r="D45" s="10">
        <v>5015</v>
      </c>
      <c r="E45" s="11" t="s">
        <v>97</v>
      </c>
      <c r="F45" s="8">
        <v>430</v>
      </c>
      <c r="G45" s="8"/>
      <c r="H45" s="9" t="s">
        <v>26</v>
      </c>
    </row>
    <row r="46" spans="2:8" ht="18" thickBot="1">
      <c r="B46" s="5">
        <v>46185</v>
      </c>
      <c r="C46" s="6">
        <v>23.201190476190401</v>
      </c>
      <c r="D46" s="10">
        <v>1111</v>
      </c>
      <c r="E46" s="14" t="s">
        <v>95</v>
      </c>
      <c r="F46" s="8"/>
      <c r="G46" s="8">
        <v>430</v>
      </c>
      <c r="H46" s="9"/>
    </row>
    <row r="47" spans="2:8" ht="17.399999999999999">
      <c r="B47" s="5">
        <v>46186</v>
      </c>
      <c r="C47" s="6">
        <v>23.732738095238101</v>
      </c>
      <c r="D47" s="10">
        <v>3001</v>
      </c>
      <c r="E47" s="11" t="s">
        <v>96</v>
      </c>
      <c r="F47" s="8">
        <v>6915</v>
      </c>
      <c r="G47" s="8"/>
      <c r="H47" s="9" t="s">
        <v>27</v>
      </c>
    </row>
    <row r="48" spans="2:8" ht="18" thickBot="1">
      <c r="B48" s="5">
        <v>46186</v>
      </c>
      <c r="C48" s="6">
        <v>24.264285714285698</v>
      </c>
      <c r="D48" s="10">
        <v>1111</v>
      </c>
      <c r="E48" s="14" t="s">
        <v>95</v>
      </c>
      <c r="F48" s="8"/>
      <c r="G48" s="8">
        <v>6915</v>
      </c>
      <c r="H48" s="9"/>
    </row>
    <row r="49" spans="2:8" ht="17.399999999999999">
      <c r="B49" s="5">
        <v>46186</v>
      </c>
      <c r="C49" s="6">
        <v>24.795833333333299</v>
      </c>
      <c r="D49" s="10">
        <v>5015</v>
      </c>
      <c r="E49" s="11" t="s">
        <v>97</v>
      </c>
      <c r="F49" s="8">
        <v>500</v>
      </c>
      <c r="G49" s="8"/>
      <c r="H49" s="9" t="s">
        <v>28</v>
      </c>
    </row>
    <row r="50" spans="2:8" ht="18" thickBot="1">
      <c r="B50" s="5">
        <v>46186</v>
      </c>
      <c r="C50" s="6">
        <v>25.327380952380899</v>
      </c>
      <c r="D50" s="10">
        <v>1111</v>
      </c>
      <c r="E50" s="14" t="s">
        <v>95</v>
      </c>
      <c r="F50" s="8"/>
      <c r="G50" s="8">
        <v>500</v>
      </c>
      <c r="H50" s="9"/>
    </row>
    <row r="51" spans="2:8" ht="17.399999999999999">
      <c r="B51" s="5">
        <v>46186</v>
      </c>
      <c r="C51" s="6">
        <v>25.8589285714285</v>
      </c>
      <c r="D51" s="10">
        <v>5015</v>
      </c>
      <c r="E51" s="11" t="s">
        <v>97</v>
      </c>
      <c r="F51" s="8">
        <v>2000</v>
      </c>
      <c r="G51" s="8"/>
      <c r="H51" s="9" t="s">
        <v>29</v>
      </c>
    </row>
    <row r="52" spans="2:8" ht="18" thickBot="1">
      <c r="B52" s="5">
        <v>46186</v>
      </c>
      <c r="C52" s="6">
        <v>26.3904761904761</v>
      </c>
      <c r="D52" s="10">
        <v>1111</v>
      </c>
      <c r="E52" s="14" t="s">
        <v>95</v>
      </c>
      <c r="F52" s="8"/>
      <c r="G52" s="8">
        <v>2000</v>
      </c>
      <c r="H52" s="9"/>
    </row>
    <row r="53" spans="2:8" ht="18" thickBot="1">
      <c r="B53" s="5">
        <v>46186</v>
      </c>
      <c r="C53" s="6">
        <v>26.9220238095238</v>
      </c>
      <c r="D53" s="12">
        <v>5002</v>
      </c>
      <c r="E53" s="13" t="s">
        <v>100</v>
      </c>
      <c r="F53" s="8">
        <v>100</v>
      </c>
      <c r="G53" s="8"/>
      <c r="H53" s="9" t="s">
        <v>23</v>
      </c>
    </row>
    <row r="54" spans="2:8" ht="18" thickBot="1">
      <c r="B54" s="5">
        <v>46186</v>
      </c>
      <c r="C54" s="6">
        <v>27.453571428571401</v>
      </c>
      <c r="D54" s="10">
        <v>1111</v>
      </c>
      <c r="E54" s="14" t="s">
        <v>95</v>
      </c>
      <c r="F54" s="8"/>
      <c r="G54" s="8">
        <v>100</v>
      </c>
      <c r="H54" s="9"/>
    </row>
    <row r="55" spans="2:8" ht="18" thickBot="1">
      <c r="B55" s="5">
        <v>46187</v>
      </c>
      <c r="C55" s="6">
        <v>27.985119047619001</v>
      </c>
      <c r="D55" s="12">
        <v>5002</v>
      </c>
      <c r="E55" s="13" t="s">
        <v>100</v>
      </c>
      <c r="F55" s="8">
        <v>500</v>
      </c>
      <c r="G55" s="8"/>
      <c r="H55" s="9" t="s">
        <v>23</v>
      </c>
    </row>
    <row r="56" spans="2:8" ht="18" thickBot="1">
      <c r="B56" s="5">
        <v>46187</v>
      </c>
      <c r="C56" s="6">
        <v>28.516666666666602</v>
      </c>
      <c r="D56" s="10">
        <v>1111</v>
      </c>
      <c r="E56" s="14" t="s">
        <v>95</v>
      </c>
      <c r="F56" s="8"/>
      <c r="G56" s="8">
        <v>500</v>
      </c>
      <c r="H56" s="9"/>
    </row>
    <row r="57" spans="2:8" ht="17.399999999999999">
      <c r="B57" s="5">
        <v>46187</v>
      </c>
      <c r="C57" s="6">
        <v>29.048214285714199</v>
      </c>
      <c r="D57" s="10">
        <v>5015</v>
      </c>
      <c r="E57" s="11" t="s">
        <v>97</v>
      </c>
      <c r="F57" s="8">
        <v>6000</v>
      </c>
      <c r="G57" s="8"/>
      <c r="H57" s="9" t="s">
        <v>30</v>
      </c>
    </row>
    <row r="58" spans="2:8" ht="18" thickBot="1">
      <c r="B58" s="5">
        <v>46187</v>
      </c>
      <c r="C58" s="6">
        <v>29.579761904761799</v>
      </c>
      <c r="D58" s="10">
        <v>1111</v>
      </c>
      <c r="E58" s="14" t="s">
        <v>95</v>
      </c>
      <c r="F58" s="8"/>
      <c r="G58" s="8">
        <v>6000</v>
      </c>
      <c r="H58" s="9"/>
    </row>
    <row r="59" spans="2:8" ht="17.399999999999999">
      <c r="B59" s="5">
        <v>46188</v>
      </c>
      <c r="C59" s="6">
        <v>30.111309523809499</v>
      </c>
      <c r="D59" s="10">
        <v>5015</v>
      </c>
      <c r="E59" s="11" t="s">
        <v>97</v>
      </c>
      <c r="F59" s="8">
        <v>100</v>
      </c>
      <c r="G59" s="8"/>
      <c r="H59" s="9" t="s">
        <v>31</v>
      </c>
    </row>
    <row r="60" spans="2:8" ht="18" thickBot="1">
      <c r="B60" s="5">
        <v>46188</v>
      </c>
      <c r="C60" s="6">
        <v>30.6428571428571</v>
      </c>
      <c r="D60" s="10">
        <v>1111</v>
      </c>
      <c r="E60" s="14" t="s">
        <v>95</v>
      </c>
      <c r="F60" s="8"/>
      <c r="G60" s="8">
        <v>100</v>
      </c>
      <c r="H60" s="9"/>
    </row>
    <row r="61" spans="2:8" ht="17.399999999999999">
      <c r="B61" s="5">
        <v>46188</v>
      </c>
      <c r="C61" s="6">
        <v>31.1744047619047</v>
      </c>
      <c r="D61" s="10">
        <v>5015</v>
      </c>
      <c r="E61" s="11" t="s">
        <v>97</v>
      </c>
      <c r="F61" s="8">
        <v>2300</v>
      </c>
      <c r="G61" s="8"/>
      <c r="H61" s="9" t="s">
        <v>32</v>
      </c>
    </row>
    <row r="62" spans="2:8" ht="18" thickBot="1">
      <c r="B62" s="5">
        <v>46188</v>
      </c>
      <c r="C62" s="6">
        <v>31.705952380952301</v>
      </c>
      <c r="D62" s="10">
        <v>1111</v>
      </c>
      <c r="E62" s="14" t="s">
        <v>95</v>
      </c>
      <c r="F62" s="8"/>
      <c r="G62" s="8">
        <v>2300</v>
      </c>
      <c r="H62" s="9"/>
    </row>
    <row r="63" spans="2:8" ht="17.399999999999999">
      <c r="B63" s="5">
        <v>46188</v>
      </c>
      <c r="C63" s="6">
        <v>32.237499999999898</v>
      </c>
      <c r="D63" s="10">
        <v>5015</v>
      </c>
      <c r="E63" s="11" t="s">
        <v>97</v>
      </c>
      <c r="F63" s="8">
        <v>200</v>
      </c>
      <c r="G63" s="8"/>
      <c r="H63" s="9" t="s">
        <v>33</v>
      </c>
    </row>
    <row r="64" spans="2:8" ht="18" thickBot="1">
      <c r="B64" s="5">
        <v>46188</v>
      </c>
      <c r="C64" s="6">
        <v>32.769047619047598</v>
      </c>
      <c r="D64" s="10">
        <v>1111</v>
      </c>
      <c r="E64" s="14" t="s">
        <v>95</v>
      </c>
      <c r="F64" s="8"/>
      <c r="G64" s="8">
        <v>200</v>
      </c>
      <c r="H64" s="9"/>
    </row>
    <row r="65" spans="2:8" ht="17.399999999999999">
      <c r="B65" s="5">
        <v>46188</v>
      </c>
      <c r="C65" s="6">
        <v>33.300595238095198</v>
      </c>
      <c r="D65" s="10">
        <v>5015</v>
      </c>
      <c r="E65" s="11" t="s">
        <v>97</v>
      </c>
      <c r="F65" s="8">
        <v>570</v>
      </c>
      <c r="G65" s="8"/>
      <c r="H65" s="9" t="s">
        <v>30</v>
      </c>
    </row>
    <row r="66" spans="2:8" ht="18" thickBot="1">
      <c r="B66" s="5">
        <v>46188</v>
      </c>
      <c r="C66" s="6">
        <v>33.832142857142799</v>
      </c>
      <c r="D66" s="10">
        <v>1111</v>
      </c>
      <c r="E66" s="14" t="s">
        <v>95</v>
      </c>
      <c r="F66" s="8"/>
      <c r="G66" s="8">
        <v>570</v>
      </c>
      <c r="H66" s="9"/>
    </row>
    <row r="67" spans="2:8" ht="18" thickBot="1">
      <c r="B67" s="5">
        <v>46188</v>
      </c>
      <c r="C67" s="6">
        <v>34.363690476190399</v>
      </c>
      <c r="D67" s="12">
        <v>5002</v>
      </c>
      <c r="E67" s="13" t="s">
        <v>100</v>
      </c>
      <c r="F67" s="8">
        <v>400</v>
      </c>
      <c r="G67" s="8"/>
      <c r="H67" s="9" t="s">
        <v>34</v>
      </c>
    </row>
    <row r="68" spans="2:8" ht="18" thickBot="1">
      <c r="B68" s="5">
        <v>46188</v>
      </c>
      <c r="C68" s="6">
        <v>34.895238095238</v>
      </c>
      <c r="D68" s="10">
        <v>1111</v>
      </c>
      <c r="E68" s="14" t="s">
        <v>95</v>
      </c>
      <c r="F68" s="8"/>
      <c r="G68" s="8">
        <v>400</v>
      </c>
      <c r="H68" s="9"/>
    </row>
    <row r="69" spans="2:8">
      <c r="B69" s="5">
        <v>46189</v>
      </c>
      <c r="C69" s="6">
        <v>35.4267857142856</v>
      </c>
      <c r="D69" s="6">
        <v>2211</v>
      </c>
      <c r="E69" s="7" t="s">
        <v>105</v>
      </c>
      <c r="F69" s="8">
        <v>5000</v>
      </c>
      <c r="G69" s="8"/>
      <c r="H69" s="9" t="s">
        <v>35</v>
      </c>
    </row>
    <row r="70" spans="2:8" ht="18" thickBot="1">
      <c r="B70" s="5">
        <v>46189</v>
      </c>
      <c r="C70" s="6">
        <v>35.9583333333333</v>
      </c>
      <c r="D70" s="10">
        <v>1111</v>
      </c>
      <c r="E70" s="14" t="s">
        <v>95</v>
      </c>
      <c r="F70" s="8"/>
      <c r="G70" s="8">
        <v>5000</v>
      </c>
      <c r="H70" s="9"/>
    </row>
    <row r="71" spans="2:8">
      <c r="B71" s="5">
        <v>46190</v>
      </c>
      <c r="C71" s="6">
        <v>36.489880952380901</v>
      </c>
      <c r="D71" s="6">
        <v>5301</v>
      </c>
      <c r="E71" s="7" t="str">
        <f>IFERROR(VLOOKUP(D71,'[1]دليل الحسابات'!$A$5:$E$102,2,0),"")</f>
        <v>مصروفات تقطيع ولزق شريط</v>
      </c>
      <c r="F71" s="8">
        <v>1000</v>
      </c>
      <c r="G71" s="8"/>
      <c r="H71" s="9" t="s">
        <v>36</v>
      </c>
    </row>
    <row r="72" spans="2:8" ht="18" thickBot="1">
      <c r="B72" s="5">
        <v>46190</v>
      </c>
      <c r="C72" s="6">
        <v>37.021428571428501</v>
      </c>
      <c r="D72" s="10">
        <v>1111</v>
      </c>
      <c r="E72" s="14" t="s">
        <v>95</v>
      </c>
      <c r="F72" s="8"/>
      <c r="G72" s="8">
        <v>1000</v>
      </c>
      <c r="H72" s="9"/>
    </row>
    <row r="73" spans="2:8" ht="18" thickBot="1">
      <c r="B73" s="5">
        <v>46190</v>
      </c>
      <c r="C73" s="6">
        <v>37.552976190476102</v>
      </c>
      <c r="D73" s="12">
        <v>5002</v>
      </c>
      <c r="E73" s="13" t="s">
        <v>100</v>
      </c>
      <c r="F73" s="8">
        <v>2000</v>
      </c>
      <c r="G73" s="8"/>
      <c r="H73" s="9" t="s">
        <v>37</v>
      </c>
    </row>
    <row r="74" spans="2:8" ht="18" thickBot="1">
      <c r="B74" s="5">
        <v>46190</v>
      </c>
      <c r="C74" s="6">
        <v>38.084523809523702</v>
      </c>
      <c r="D74" s="10">
        <v>1111</v>
      </c>
      <c r="E74" s="14" t="s">
        <v>95</v>
      </c>
      <c r="F74" s="8"/>
      <c r="G74" s="8">
        <v>2000</v>
      </c>
      <c r="H74" s="9"/>
    </row>
    <row r="75" spans="2:8" ht="18" thickBot="1">
      <c r="B75" s="5">
        <v>46191</v>
      </c>
      <c r="C75" s="6">
        <v>38.616071428571402</v>
      </c>
      <c r="D75" s="12">
        <v>5002</v>
      </c>
      <c r="E75" s="13" t="s">
        <v>100</v>
      </c>
      <c r="F75" s="8">
        <v>1000</v>
      </c>
      <c r="G75" s="8"/>
      <c r="H75" s="9" t="s">
        <v>38</v>
      </c>
    </row>
    <row r="76" spans="2:8" ht="18" thickBot="1">
      <c r="B76" s="5">
        <v>46191</v>
      </c>
      <c r="C76" s="6">
        <v>39.147619047619003</v>
      </c>
      <c r="D76" s="10">
        <v>1111</v>
      </c>
      <c r="E76" s="14" t="s">
        <v>95</v>
      </c>
      <c r="F76" s="8"/>
      <c r="G76" s="8">
        <v>1000</v>
      </c>
      <c r="H76" s="9"/>
    </row>
    <row r="77" spans="2:8">
      <c r="B77" s="5">
        <v>46194</v>
      </c>
      <c r="C77" s="6">
        <v>39.679166666666603</v>
      </c>
      <c r="D77" s="6">
        <v>5101</v>
      </c>
      <c r="E77" s="7" t="str">
        <f>IFERROR(VLOOKUP(D77,'[1]دليل الحسابات'!$A$5:$E$102,2,0),"")</f>
        <v>المشتريات</v>
      </c>
      <c r="F77" s="8">
        <v>2000</v>
      </c>
      <c r="G77" s="8"/>
      <c r="H77" s="9" t="s">
        <v>39</v>
      </c>
    </row>
    <row r="78" spans="2:8" ht="18" thickBot="1">
      <c r="B78" s="5">
        <v>46194</v>
      </c>
      <c r="C78" s="6">
        <v>40.210714285714197</v>
      </c>
      <c r="D78" s="10">
        <v>1111</v>
      </c>
      <c r="E78" s="14" t="s">
        <v>95</v>
      </c>
      <c r="F78" s="8"/>
      <c r="G78" s="8">
        <v>2000</v>
      </c>
      <c r="H78" s="9"/>
    </row>
    <row r="79" spans="2:8" ht="18" thickBot="1">
      <c r="B79" s="5">
        <v>46194</v>
      </c>
      <c r="C79" s="6">
        <v>40.742261904761797</v>
      </c>
      <c r="D79" s="12">
        <v>5022</v>
      </c>
      <c r="E79" s="13" t="s">
        <v>101</v>
      </c>
      <c r="F79" s="8">
        <v>100</v>
      </c>
      <c r="G79" s="8"/>
      <c r="H79" s="9" t="s">
        <v>33</v>
      </c>
    </row>
    <row r="80" spans="2:8" ht="18" thickBot="1">
      <c r="B80" s="5">
        <v>46194</v>
      </c>
      <c r="C80" s="6">
        <v>41.273809523809398</v>
      </c>
      <c r="D80" s="10">
        <v>1111</v>
      </c>
      <c r="E80" s="14" t="s">
        <v>95</v>
      </c>
      <c r="F80" s="8"/>
      <c r="G80" s="8">
        <v>100</v>
      </c>
      <c r="H80" s="9"/>
    </row>
    <row r="81" spans="2:8" ht="17.399999999999999">
      <c r="B81" s="5">
        <v>46194</v>
      </c>
      <c r="C81" s="6">
        <v>41.805357142857098</v>
      </c>
      <c r="D81" s="10">
        <v>5015</v>
      </c>
      <c r="E81" s="11" t="s">
        <v>97</v>
      </c>
      <c r="F81" s="8">
        <v>500</v>
      </c>
      <c r="G81" s="8"/>
      <c r="H81" s="9" t="s">
        <v>40</v>
      </c>
    </row>
    <row r="82" spans="2:8" ht="18" thickBot="1">
      <c r="B82" s="5">
        <v>46194</v>
      </c>
      <c r="C82" s="6">
        <v>42.336904761904698</v>
      </c>
      <c r="D82" s="10">
        <v>1111</v>
      </c>
      <c r="E82" s="14" t="s">
        <v>95</v>
      </c>
      <c r="F82" s="8"/>
      <c r="G82" s="8">
        <v>500</v>
      </c>
      <c r="H82" s="9"/>
    </row>
    <row r="83" spans="2:8" ht="17.399999999999999">
      <c r="B83" s="5">
        <v>46195</v>
      </c>
      <c r="C83" s="6">
        <v>42.868452380952299</v>
      </c>
      <c r="D83" s="10">
        <v>5015</v>
      </c>
      <c r="E83" s="11" t="s">
        <v>97</v>
      </c>
      <c r="F83" s="8">
        <v>1000</v>
      </c>
      <c r="G83" s="8"/>
      <c r="H83" s="9" t="s">
        <v>19</v>
      </c>
    </row>
    <row r="84" spans="2:8" ht="18" thickBot="1">
      <c r="B84" s="5">
        <v>46195</v>
      </c>
      <c r="C84" s="6">
        <v>43.399999999999899</v>
      </c>
      <c r="D84" s="10">
        <v>1111</v>
      </c>
      <c r="E84" s="14" t="s">
        <v>95</v>
      </c>
      <c r="F84" s="8"/>
      <c r="G84" s="8">
        <v>1000</v>
      </c>
      <c r="H84" s="9"/>
    </row>
    <row r="85" spans="2:8" ht="17.399999999999999">
      <c r="B85" s="5">
        <v>46196</v>
      </c>
      <c r="C85" s="6">
        <v>43.9315476190475</v>
      </c>
      <c r="D85" s="10">
        <v>5015</v>
      </c>
      <c r="E85" s="11" t="s">
        <v>97</v>
      </c>
      <c r="F85" s="8">
        <v>1605</v>
      </c>
      <c r="G85" s="8"/>
      <c r="H85" s="9" t="s">
        <v>41</v>
      </c>
    </row>
    <row r="86" spans="2:8" ht="18" thickBot="1">
      <c r="B86" s="5">
        <v>46196</v>
      </c>
      <c r="C86" s="6">
        <v>44.4630952380952</v>
      </c>
      <c r="D86" s="10">
        <v>1111</v>
      </c>
      <c r="E86" s="14" t="s">
        <v>95</v>
      </c>
      <c r="F86" s="8"/>
      <c r="G86" s="8">
        <v>1605</v>
      </c>
      <c r="H86" s="9"/>
    </row>
    <row r="87" spans="2:8" ht="18" thickBot="1">
      <c r="B87" s="5">
        <v>46196</v>
      </c>
      <c r="C87" s="6">
        <v>44.9946428571428</v>
      </c>
      <c r="D87" s="12">
        <v>5022</v>
      </c>
      <c r="E87" s="13" t="s">
        <v>101</v>
      </c>
      <c r="F87" s="8">
        <v>1000</v>
      </c>
      <c r="G87" s="8"/>
      <c r="H87" s="9" t="s">
        <v>42</v>
      </c>
    </row>
    <row r="88" spans="2:8" ht="18" thickBot="1">
      <c r="B88" s="5">
        <v>46196</v>
      </c>
      <c r="C88" s="6">
        <v>45.526190476190401</v>
      </c>
      <c r="D88" s="10">
        <v>1111</v>
      </c>
      <c r="E88" s="14" t="s">
        <v>95</v>
      </c>
      <c r="F88" s="8"/>
      <c r="G88" s="8">
        <v>1000</v>
      </c>
      <c r="H88" s="9"/>
    </row>
    <row r="89" spans="2:8" ht="18" thickBot="1">
      <c r="B89" s="5">
        <v>46197</v>
      </c>
      <c r="C89" s="6">
        <v>46.057738095238001</v>
      </c>
      <c r="D89" s="12">
        <v>5022</v>
      </c>
      <c r="E89" s="13" t="s">
        <v>101</v>
      </c>
      <c r="F89" s="8">
        <v>730</v>
      </c>
      <c r="G89" s="8"/>
      <c r="H89" s="9" t="s">
        <v>43</v>
      </c>
    </row>
    <row r="90" spans="2:8" ht="18" thickBot="1">
      <c r="B90" s="5">
        <v>46197</v>
      </c>
      <c r="C90" s="6">
        <v>46.589285714285602</v>
      </c>
      <c r="D90" s="10">
        <v>1111</v>
      </c>
      <c r="E90" s="14" t="s">
        <v>95</v>
      </c>
      <c r="F90" s="8"/>
      <c r="G90" s="8">
        <v>730</v>
      </c>
      <c r="H90" s="9"/>
    </row>
    <row r="91" spans="2:8" ht="17.399999999999999">
      <c r="B91" s="5">
        <v>46197</v>
      </c>
      <c r="C91" s="6">
        <v>47.120833333333202</v>
      </c>
      <c r="D91" s="10">
        <v>5015</v>
      </c>
      <c r="E91" s="11" t="s">
        <v>97</v>
      </c>
      <c r="F91" s="8">
        <v>1900</v>
      </c>
      <c r="G91" s="8"/>
      <c r="H91" s="9" t="s">
        <v>44</v>
      </c>
    </row>
    <row r="92" spans="2:8" ht="18" thickBot="1">
      <c r="B92" s="5">
        <v>46197</v>
      </c>
      <c r="C92" s="6">
        <v>47.652380952380902</v>
      </c>
      <c r="D92" s="10">
        <v>1111</v>
      </c>
      <c r="E92" s="14" t="s">
        <v>95</v>
      </c>
      <c r="F92" s="8"/>
      <c r="G92" s="8">
        <v>1900</v>
      </c>
      <c r="H92" s="9"/>
    </row>
    <row r="93" spans="2:8" ht="18" thickBot="1">
      <c r="B93" s="5">
        <v>46198</v>
      </c>
      <c r="C93" s="6">
        <v>48.183928571428503</v>
      </c>
      <c r="D93" s="12">
        <v>5022</v>
      </c>
      <c r="E93" s="13" t="s">
        <v>101</v>
      </c>
      <c r="F93" s="8">
        <v>200</v>
      </c>
      <c r="G93" s="8"/>
      <c r="H93" s="9" t="s">
        <v>33</v>
      </c>
    </row>
    <row r="94" spans="2:8" ht="18" thickBot="1">
      <c r="B94" s="5">
        <v>46198</v>
      </c>
      <c r="C94" s="6">
        <v>48.715476190476103</v>
      </c>
      <c r="D94" s="10">
        <v>1111</v>
      </c>
      <c r="E94" s="14" t="s">
        <v>95</v>
      </c>
      <c r="F94" s="8"/>
      <c r="G94" s="8">
        <v>200</v>
      </c>
      <c r="H94" s="9"/>
    </row>
    <row r="95" spans="2:8">
      <c r="B95" s="5">
        <v>46198</v>
      </c>
      <c r="C95" s="6">
        <v>49.247023809523697</v>
      </c>
      <c r="D95" s="6">
        <v>2212</v>
      </c>
      <c r="E95" s="7" t="s">
        <v>106</v>
      </c>
      <c r="F95" s="8">
        <v>2500</v>
      </c>
      <c r="G95" s="8"/>
      <c r="H95" s="9" t="s">
        <v>45</v>
      </c>
    </row>
    <row r="96" spans="2:8" ht="18" thickBot="1">
      <c r="B96" s="5">
        <v>46198</v>
      </c>
      <c r="C96" s="6">
        <v>49.778571428571297</v>
      </c>
      <c r="D96" s="10">
        <v>1111</v>
      </c>
      <c r="E96" s="14" t="s">
        <v>95</v>
      </c>
      <c r="F96" s="8"/>
      <c r="G96" s="8">
        <v>2500</v>
      </c>
      <c r="H96" s="9"/>
    </row>
    <row r="97" spans="2:8">
      <c r="B97" s="5">
        <v>46198</v>
      </c>
      <c r="C97" s="6">
        <v>50.310119047618898</v>
      </c>
      <c r="D97" s="6">
        <v>2211</v>
      </c>
      <c r="E97" s="7" t="s">
        <v>105</v>
      </c>
      <c r="F97" s="8">
        <v>6000</v>
      </c>
      <c r="G97" s="8"/>
      <c r="H97" s="9" t="s">
        <v>35</v>
      </c>
    </row>
    <row r="98" spans="2:8" ht="18" thickBot="1">
      <c r="B98" s="5">
        <v>46198</v>
      </c>
      <c r="C98" s="6">
        <v>50.841666666666598</v>
      </c>
      <c r="D98" s="10">
        <v>1111</v>
      </c>
      <c r="E98" s="14" t="s">
        <v>95</v>
      </c>
      <c r="F98" s="8"/>
      <c r="G98" s="8">
        <v>6000</v>
      </c>
      <c r="H98" s="9"/>
    </row>
    <row r="99" spans="2:8" ht="17.399999999999999">
      <c r="B99" s="5">
        <v>46198</v>
      </c>
      <c r="C99" s="6">
        <v>51.373214285714198</v>
      </c>
      <c r="D99" s="10">
        <v>5015</v>
      </c>
      <c r="E99" s="11" t="s">
        <v>97</v>
      </c>
      <c r="F99" s="8">
        <v>1530</v>
      </c>
      <c r="G99" s="8"/>
      <c r="H99" s="9" t="s">
        <v>46</v>
      </c>
    </row>
    <row r="100" spans="2:8" ht="18" thickBot="1">
      <c r="B100" s="5">
        <v>46198</v>
      </c>
      <c r="C100" s="6">
        <v>51.904761904761799</v>
      </c>
      <c r="D100" s="10">
        <v>1111</v>
      </c>
      <c r="E100" s="14" t="s">
        <v>95</v>
      </c>
      <c r="F100" s="8"/>
      <c r="G100" s="8">
        <v>1530</v>
      </c>
      <c r="H100" s="9"/>
    </row>
    <row r="101" spans="2:8" ht="18" thickBot="1">
      <c r="B101" s="5">
        <v>46198</v>
      </c>
      <c r="C101" s="6">
        <v>52.436309523809399</v>
      </c>
      <c r="D101" s="12">
        <v>5002</v>
      </c>
      <c r="E101" s="13" t="s">
        <v>100</v>
      </c>
      <c r="F101" s="8">
        <v>4000</v>
      </c>
      <c r="G101" s="8"/>
      <c r="H101" s="9" t="s">
        <v>37</v>
      </c>
    </row>
    <row r="102" spans="2:8" ht="18" thickBot="1">
      <c r="B102" s="5">
        <v>46198</v>
      </c>
      <c r="C102" s="6">
        <v>52.967857142857</v>
      </c>
      <c r="D102" s="10">
        <v>1111</v>
      </c>
      <c r="E102" s="14" t="s">
        <v>95</v>
      </c>
      <c r="F102" s="8"/>
      <c r="G102" s="8">
        <v>4000</v>
      </c>
      <c r="H102" s="9"/>
    </row>
    <row r="103" spans="2:8" ht="18" thickBot="1">
      <c r="B103" s="5">
        <v>46198</v>
      </c>
      <c r="C103" s="6">
        <v>53.4994047619047</v>
      </c>
      <c r="D103" s="12">
        <v>5002</v>
      </c>
      <c r="E103" s="13" t="s">
        <v>100</v>
      </c>
      <c r="F103" s="8">
        <v>800</v>
      </c>
      <c r="G103" s="8"/>
      <c r="H103" s="9" t="s">
        <v>38</v>
      </c>
    </row>
    <row r="104" spans="2:8" ht="18" thickBot="1">
      <c r="B104" s="5">
        <v>46198</v>
      </c>
      <c r="C104" s="6">
        <v>54.0309523809523</v>
      </c>
      <c r="D104" s="10">
        <v>1111</v>
      </c>
      <c r="E104" s="14" t="s">
        <v>95</v>
      </c>
      <c r="F104" s="8"/>
      <c r="G104" s="8">
        <v>800</v>
      </c>
      <c r="H104" s="9"/>
    </row>
    <row r="105" spans="2:8">
      <c r="B105" s="5">
        <v>46198</v>
      </c>
      <c r="C105" s="6">
        <v>54.562499999999901</v>
      </c>
      <c r="D105" s="6">
        <v>5101</v>
      </c>
      <c r="E105" s="7" t="str">
        <f>IFERROR(VLOOKUP(D105,'[1]دليل الحسابات'!$A$5:$E$102,2,0),"")</f>
        <v>المشتريات</v>
      </c>
      <c r="F105" s="8">
        <v>3600</v>
      </c>
      <c r="G105" s="8"/>
      <c r="H105" s="9" t="s">
        <v>47</v>
      </c>
    </row>
    <row r="106" spans="2:8" ht="18" thickBot="1">
      <c r="B106" s="5">
        <v>46198</v>
      </c>
      <c r="C106" s="6">
        <v>55.094047619047501</v>
      </c>
      <c r="D106" s="10">
        <v>1111</v>
      </c>
      <c r="E106" s="14" t="s">
        <v>95</v>
      </c>
      <c r="F106" s="8"/>
      <c r="G106" s="8">
        <v>3600</v>
      </c>
      <c r="H106" s="9"/>
    </row>
    <row r="107" spans="2:8">
      <c r="B107" s="5">
        <v>46200</v>
      </c>
      <c r="C107" s="6">
        <v>55.625595238095102</v>
      </c>
      <c r="D107" s="6">
        <v>2211</v>
      </c>
      <c r="E107" s="7" t="s">
        <v>105</v>
      </c>
      <c r="F107" s="8">
        <v>5000</v>
      </c>
      <c r="G107" s="8"/>
      <c r="H107" s="9" t="s">
        <v>35</v>
      </c>
    </row>
    <row r="108" spans="2:8" ht="18" thickBot="1">
      <c r="B108" s="5">
        <v>46200</v>
      </c>
      <c r="C108" s="6">
        <v>56.157142857142702</v>
      </c>
      <c r="D108" s="10">
        <v>1111</v>
      </c>
      <c r="E108" s="14" t="s">
        <v>95</v>
      </c>
      <c r="F108" s="8"/>
      <c r="G108" s="8">
        <v>5000</v>
      </c>
      <c r="H108" s="9"/>
    </row>
    <row r="109" spans="2:8" ht="18" thickBot="1">
      <c r="B109" s="5">
        <v>46200</v>
      </c>
      <c r="C109" s="6">
        <v>56.688690476190402</v>
      </c>
      <c r="D109" s="12">
        <v>5022</v>
      </c>
      <c r="E109" s="13" t="s">
        <v>101</v>
      </c>
      <c r="F109" s="8">
        <v>100</v>
      </c>
      <c r="G109" s="8"/>
      <c r="H109" s="9" t="s">
        <v>14</v>
      </c>
    </row>
    <row r="110" spans="2:8" ht="18" thickBot="1">
      <c r="B110" s="5">
        <v>46200</v>
      </c>
      <c r="C110" s="6">
        <v>57.220238095238003</v>
      </c>
      <c r="D110" s="10">
        <v>1111</v>
      </c>
      <c r="E110" s="14" t="s">
        <v>95</v>
      </c>
      <c r="F110" s="8"/>
      <c r="G110" s="8">
        <v>100</v>
      </c>
      <c r="H110" s="9"/>
    </row>
    <row r="111" spans="2:8" ht="17.399999999999999">
      <c r="B111" s="5">
        <v>46200</v>
      </c>
      <c r="C111" s="6">
        <v>57.751785714285603</v>
      </c>
      <c r="D111" s="10">
        <v>5015</v>
      </c>
      <c r="E111" s="11" t="s">
        <v>97</v>
      </c>
      <c r="F111" s="8">
        <v>2430</v>
      </c>
      <c r="G111" s="8"/>
      <c r="H111" s="9" t="s">
        <v>48</v>
      </c>
    </row>
    <row r="112" spans="2:8" ht="18" thickBot="1">
      <c r="B112" s="5">
        <v>46200</v>
      </c>
      <c r="C112" s="6">
        <v>58.283333333333204</v>
      </c>
      <c r="D112" s="10">
        <v>1111</v>
      </c>
      <c r="E112" s="14" t="s">
        <v>95</v>
      </c>
      <c r="F112" s="8"/>
      <c r="G112" s="8">
        <v>2430</v>
      </c>
      <c r="H112" s="9"/>
    </row>
    <row r="113" spans="2:8" ht="18" thickBot="1">
      <c r="B113" s="5">
        <v>46200</v>
      </c>
      <c r="C113" s="6">
        <v>58.814880952380797</v>
      </c>
      <c r="D113" s="12">
        <v>5002</v>
      </c>
      <c r="E113" s="13" t="s">
        <v>100</v>
      </c>
      <c r="F113" s="8">
        <v>1500</v>
      </c>
      <c r="G113" s="8"/>
      <c r="H113" s="9" t="s">
        <v>37</v>
      </c>
    </row>
    <row r="114" spans="2:8" ht="18" thickBot="1">
      <c r="B114" s="5">
        <v>46200</v>
      </c>
      <c r="C114" s="6">
        <v>59.346428571428497</v>
      </c>
      <c r="D114" s="10">
        <v>1111</v>
      </c>
      <c r="E114" s="14" t="s">
        <v>95</v>
      </c>
      <c r="F114" s="8"/>
      <c r="G114" s="8">
        <v>1500</v>
      </c>
      <c r="H114" s="9"/>
    </row>
    <row r="115" spans="2:8" ht="18" thickBot="1">
      <c r="B115" s="5">
        <v>46202</v>
      </c>
      <c r="C115" s="6">
        <v>59.877976190476097</v>
      </c>
      <c r="D115" s="12">
        <v>5002</v>
      </c>
      <c r="E115" s="13" t="s">
        <v>100</v>
      </c>
      <c r="F115" s="8">
        <v>1000</v>
      </c>
      <c r="G115" s="8"/>
      <c r="H115" s="9" t="s">
        <v>49</v>
      </c>
    </row>
    <row r="116" spans="2:8" ht="18" thickBot="1">
      <c r="B116" s="5">
        <v>46202</v>
      </c>
      <c r="C116" s="6">
        <v>60.409523809523698</v>
      </c>
      <c r="D116" s="10">
        <v>1111</v>
      </c>
      <c r="E116" s="14" t="s">
        <v>95</v>
      </c>
      <c r="F116" s="8"/>
      <c r="G116" s="8">
        <v>1000</v>
      </c>
      <c r="H116" s="9"/>
    </row>
    <row r="117" spans="2:8" ht="17.399999999999999">
      <c r="B117" s="5">
        <v>46202</v>
      </c>
      <c r="C117" s="6">
        <v>60.941071428571298</v>
      </c>
      <c r="D117" s="10">
        <v>5015</v>
      </c>
      <c r="E117" s="11" t="s">
        <v>97</v>
      </c>
      <c r="F117" s="8">
        <v>1000</v>
      </c>
      <c r="G117" s="8"/>
      <c r="H117" s="9" t="s">
        <v>50</v>
      </c>
    </row>
    <row r="118" spans="2:8" ht="18" thickBot="1">
      <c r="B118" s="5">
        <v>46202</v>
      </c>
      <c r="C118" s="6">
        <v>61.472619047618899</v>
      </c>
      <c r="D118" s="10">
        <v>1111</v>
      </c>
      <c r="E118" s="14" t="s">
        <v>95</v>
      </c>
      <c r="F118" s="8"/>
      <c r="G118" s="8">
        <v>1000</v>
      </c>
      <c r="H118" s="9"/>
    </row>
    <row r="119" spans="2:8" ht="18" thickBot="1">
      <c r="B119" s="5">
        <v>46202</v>
      </c>
      <c r="C119" s="6">
        <v>62.004166666666599</v>
      </c>
      <c r="D119" s="12">
        <v>5022</v>
      </c>
      <c r="E119" s="13" t="s">
        <v>101</v>
      </c>
      <c r="F119" s="8">
        <v>500</v>
      </c>
      <c r="G119" s="8"/>
      <c r="H119" s="9" t="s">
        <v>33</v>
      </c>
    </row>
    <row r="120" spans="2:8" ht="18" thickBot="1">
      <c r="B120" s="5">
        <v>46202</v>
      </c>
      <c r="C120" s="6">
        <v>62.535714285714199</v>
      </c>
      <c r="D120" s="10">
        <v>1111</v>
      </c>
      <c r="E120" s="14" t="s">
        <v>95</v>
      </c>
      <c r="F120" s="8"/>
      <c r="G120" s="8">
        <v>500</v>
      </c>
      <c r="H120" s="9"/>
    </row>
    <row r="121" spans="2:8" ht="18" thickBot="1">
      <c r="B121" s="5">
        <v>46202</v>
      </c>
      <c r="C121" s="6">
        <v>63.0672619047618</v>
      </c>
      <c r="D121" s="12">
        <v>5022</v>
      </c>
      <c r="E121" s="13" t="s">
        <v>101</v>
      </c>
      <c r="F121" s="8">
        <v>100</v>
      </c>
      <c r="G121" s="8"/>
      <c r="H121" s="9" t="s">
        <v>51</v>
      </c>
    </row>
    <row r="122" spans="2:8" ht="18" thickBot="1">
      <c r="B122" s="5">
        <v>46202</v>
      </c>
      <c r="C122" s="6">
        <v>63.5988095238094</v>
      </c>
      <c r="D122" s="10">
        <v>1111</v>
      </c>
      <c r="E122" s="14" t="s">
        <v>95</v>
      </c>
      <c r="F122" s="8"/>
      <c r="G122" s="8">
        <v>100</v>
      </c>
      <c r="H122" s="9"/>
    </row>
    <row r="123" spans="2:8" ht="18" thickBot="1">
      <c r="B123" s="5">
        <v>46203</v>
      </c>
      <c r="C123" s="6">
        <v>64.130357142856994</v>
      </c>
      <c r="D123" s="12">
        <v>5022</v>
      </c>
      <c r="E123" s="13" t="s">
        <v>101</v>
      </c>
      <c r="F123" s="8">
        <v>500</v>
      </c>
      <c r="G123" s="8"/>
      <c r="H123" s="9" t="s">
        <v>50</v>
      </c>
    </row>
    <row r="124" spans="2:8" ht="18" thickBot="1">
      <c r="B124" s="5">
        <v>46203</v>
      </c>
      <c r="C124" s="6">
        <v>64.661904761904594</v>
      </c>
      <c r="D124" s="10">
        <v>1111</v>
      </c>
      <c r="E124" s="14" t="s">
        <v>95</v>
      </c>
      <c r="F124" s="8"/>
      <c r="G124" s="8">
        <v>500</v>
      </c>
      <c r="H124" s="9"/>
    </row>
    <row r="125" spans="2:8">
      <c r="B125" s="5">
        <v>46204</v>
      </c>
      <c r="C125" s="6">
        <v>65.193452380952294</v>
      </c>
      <c r="D125" s="6">
        <v>2211</v>
      </c>
      <c r="E125" s="7" t="s">
        <v>105</v>
      </c>
      <c r="F125" s="8">
        <v>5000</v>
      </c>
      <c r="G125" s="8"/>
      <c r="H125" s="9" t="s">
        <v>35</v>
      </c>
    </row>
    <row r="126" spans="2:8" ht="18" thickBot="1">
      <c r="B126" s="5">
        <v>46204</v>
      </c>
      <c r="C126" s="6">
        <v>65.724999999999895</v>
      </c>
      <c r="D126" s="10">
        <v>1111</v>
      </c>
      <c r="E126" s="14" t="s">
        <v>95</v>
      </c>
      <c r="F126" s="8"/>
      <c r="G126" s="8">
        <v>5000</v>
      </c>
      <c r="H126" s="9"/>
    </row>
    <row r="127" spans="2:8">
      <c r="B127" s="5">
        <v>46204</v>
      </c>
      <c r="C127" s="6">
        <v>66.256547619047495</v>
      </c>
      <c r="D127" s="6">
        <v>2212</v>
      </c>
      <c r="E127" s="7" t="s">
        <v>106</v>
      </c>
      <c r="F127" s="8">
        <v>5000</v>
      </c>
      <c r="G127" s="8"/>
      <c r="H127" s="9" t="s">
        <v>45</v>
      </c>
    </row>
    <row r="128" spans="2:8" ht="18" thickBot="1">
      <c r="B128" s="5">
        <v>46204</v>
      </c>
      <c r="C128" s="6">
        <v>66.788095238095096</v>
      </c>
      <c r="D128" s="10">
        <v>1111</v>
      </c>
      <c r="E128" s="14" t="s">
        <v>95</v>
      </c>
      <c r="F128" s="8"/>
      <c r="G128" s="8">
        <v>5000</v>
      </c>
      <c r="H128" s="9"/>
    </row>
    <row r="129" spans="2:8" ht="18" thickBot="1">
      <c r="B129" s="5">
        <v>46204</v>
      </c>
      <c r="C129" s="6">
        <v>67.319642857142696</v>
      </c>
      <c r="D129" s="12">
        <v>5022</v>
      </c>
      <c r="E129" s="13" t="s">
        <v>101</v>
      </c>
      <c r="F129" s="8">
        <v>915</v>
      </c>
      <c r="G129" s="8"/>
      <c r="H129" s="9" t="s">
        <v>52</v>
      </c>
    </row>
    <row r="130" spans="2:8" ht="18" thickBot="1">
      <c r="B130" s="5">
        <v>46204</v>
      </c>
      <c r="C130" s="6">
        <v>67.851190476190297</v>
      </c>
      <c r="D130" s="10">
        <v>1111</v>
      </c>
      <c r="E130" s="14" t="s">
        <v>95</v>
      </c>
      <c r="F130" s="8"/>
      <c r="G130" s="8">
        <v>915</v>
      </c>
      <c r="H130" s="9"/>
    </row>
    <row r="131" spans="2:8" ht="17.399999999999999">
      <c r="B131" s="5">
        <v>46205</v>
      </c>
      <c r="C131" s="6">
        <v>68.382738095237997</v>
      </c>
      <c r="D131" s="10">
        <v>5015</v>
      </c>
      <c r="E131" s="11" t="s">
        <v>97</v>
      </c>
      <c r="F131" s="8">
        <v>750</v>
      </c>
      <c r="G131" s="8"/>
      <c r="H131" s="9" t="s">
        <v>53</v>
      </c>
    </row>
    <row r="132" spans="2:8" ht="18" thickBot="1">
      <c r="B132" s="5">
        <v>46205</v>
      </c>
      <c r="C132" s="6">
        <v>68.914285714285597</v>
      </c>
      <c r="D132" s="10">
        <v>1111</v>
      </c>
      <c r="E132" s="14" t="s">
        <v>95</v>
      </c>
      <c r="F132" s="8"/>
      <c r="G132" s="8">
        <v>750</v>
      </c>
      <c r="H132" s="9"/>
    </row>
    <row r="133" spans="2:8" ht="18" thickBot="1">
      <c r="B133" s="5">
        <v>46205</v>
      </c>
      <c r="C133" s="6">
        <v>69.445833333333198</v>
      </c>
      <c r="D133" s="12">
        <v>5002</v>
      </c>
      <c r="E133" s="13" t="s">
        <v>100</v>
      </c>
      <c r="F133" s="8">
        <v>1500</v>
      </c>
      <c r="G133" s="8"/>
      <c r="H133" s="9" t="s">
        <v>37</v>
      </c>
    </row>
    <row r="134" spans="2:8" ht="18" thickBot="1">
      <c r="B134" s="5">
        <v>46205</v>
      </c>
      <c r="C134" s="6">
        <v>69.977380952380798</v>
      </c>
      <c r="D134" s="10">
        <v>1111</v>
      </c>
      <c r="E134" s="14" t="s">
        <v>95</v>
      </c>
      <c r="F134" s="8"/>
      <c r="G134" s="8">
        <v>1500</v>
      </c>
      <c r="H134" s="9"/>
    </row>
    <row r="135" spans="2:8" ht="18" thickBot="1">
      <c r="B135" s="5">
        <v>46205</v>
      </c>
      <c r="C135" s="6">
        <v>70.508928571428399</v>
      </c>
      <c r="D135" s="12">
        <v>5002</v>
      </c>
      <c r="E135" s="13" t="s">
        <v>100</v>
      </c>
      <c r="F135" s="8">
        <v>800</v>
      </c>
      <c r="G135" s="8"/>
      <c r="H135" s="9" t="s">
        <v>38</v>
      </c>
    </row>
    <row r="136" spans="2:8" ht="18" thickBot="1">
      <c r="B136" s="5">
        <v>46205</v>
      </c>
      <c r="C136" s="6">
        <v>71.040476190476099</v>
      </c>
      <c r="D136" s="10">
        <v>1111</v>
      </c>
      <c r="E136" s="14" t="s">
        <v>95</v>
      </c>
      <c r="F136" s="8"/>
      <c r="G136" s="8">
        <v>800</v>
      </c>
      <c r="H136" s="9"/>
    </row>
    <row r="137" spans="2:8" ht="18" thickBot="1">
      <c r="B137" s="5">
        <v>46205</v>
      </c>
      <c r="C137" s="6">
        <v>71.572023809523699</v>
      </c>
      <c r="D137" s="12">
        <v>5022</v>
      </c>
      <c r="E137" s="13" t="s">
        <v>101</v>
      </c>
      <c r="F137" s="8">
        <v>400</v>
      </c>
      <c r="G137" s="8"/>
      <c r="H137" s="9" t="s">
        <v>33</v>
      </c>
    </row>
    <row r="138" spans="2:8" ht="18" thickBot="1">
      <c r="B138" s="5">
        <v>46205</v>
      </c>
      <c r="C138" s="6">
        <v>72.1035714285713</v>
      </c>
      <c r="D138" s="10">
        <v>1111</v>
      </c>
      <c r="E138" s="14" t="s">
        <v>95</v>
      </c>
      <c r="F138" s="8"/>
      <c r="G138" s="8">
        <v>400</v>
      </c>
      <c r="H138" s="9"/>
    </row>
    <row r="139" spans="2:8" ht="18" thickBot="1">
      <c r="B139" s="5">
        <v>46205</v>
      </c>
      <c r="C139" s="6">
        <v>72.6351190476189</v>
      </c>
      <c r="D139" s="12">
        <v>5022</v>
      </c>
      <c r="E139" s="13" t="s">
        <v>101</v>
      </c>
      <c r="F139" s="8">
        <v>500</v>
      </c>
      <c r="G139" s="8"/>
      <c r="H139" s="9" t="s">
        <v>50</v>
      </c>
    </row>
    <row r="140" spans="2:8" ht="18" thickBot="1">
      <c r="B140" s="5">
        <v>46205</v>
      </c>
      <c r="C140" s="6">
        <v>73.166666666666501</v>
      </c>
      <c r="D140" s="10">
        <v>1111</v>
      </c>
      <c r="E140" s="14" t="s">
        <v>95</v>
      </c>
      <c r="F140" s="8"/>
      <c r="G140" s="8">
        <v>500</v>
      </c>
      <c r="H140" s="9"/>
    </row>
    <row r="141" spans="2:8" ht="18" thickBot="1">
      <c r="B141" s="5">
        <v>46206</v>
      </c>
      <c r="C141" s="6">
        <v>73.698214285714101</v>
      </c>
      <c r="D141" s="10">
        <v>1111</v>
      </c>
      <c r="E141" s="14" t="s">
        <v>95</v>
      </c>
      <c r="F141" s="8">
        <v>70000</v>
      </c>
      <c r="G141" s="8"/>
      <c r="H141" s="9" t="s">
        <v>54</v>
      </c>
    </row>
    <row r="142" spans="2:8">
      <c r="B142" s="5">
        <v>46206</v>
      </c>
      <c r="C142" s="6">
        <v>74.229761904761801</v>
      </c>
      <c r="D142" s="6">
        <v>1212</v>
      </c>
      <c r="E142" s="7" t="s">
        <v>103</v>
      </c>
      <c r="F142" s="8"/>
      <c r="G142" s="8">
        <v>70000</v>
      </c>
      <c r="H142" s="9"/>
    </row>
    <row r="143" spans="2:8">
      <c r="B143" s="5">
        <v>46207</v>
      </c>
      <c r="C143" s="6">
        <v>74.761309523809402</v>
      </c>
      <c r="D143" s="6">
        <v>2211</v>
      </c>
      <c r="E143" s="7" t="s">
        <v>105</v>
      </c>
      <c r="F143" s="8">
        <v>25000</v>
      </c>
      <c r="G143" s="8"/>
      <c r="H143" s="9" t="s">
        <v>35</v>
      </c>
    </row>
    <row r="144" spans="2:8" ht="18" thickBot="1">
      <c r="B144" s="5">
        <v>46207</v>
      </c>
      <c r="C144" s="6">
        <v>75.292857142857002</v>
      </c>
      <c r="D144" s="10">
        <v>1111</v>
      </c>
      <c r="E144" s="14" t="s">
        <v>95</v>
      </c>
      <c r="F144" s="8"/>
      <c r="G144" s="8">
        <v>25000</v>
      </c>
      <c r="H144" s="9"/>
    </row>
    <row r="145" spans="2:8">
      <c r="B145" s="5">
        <v>46207</v>
      </c>
      <c r="C145" s="6">
        <v>75.824404761904603</v>
      </c>
      <c r="D145" s="6">
        <v>5101</v>
      </c>
      <c r="E145" s="7" t="str">
        <f>IFERROR(VLOOKUP(D145,'[1]دليل الحسابات'!$A$5:$E$102,2,0),"")</f>
        <v>المشتريات</v>
      </c>
      <c r="F145" s="8">
        <v>550</v>
      </c>
      <c r="G145" s="8"/>
      <c r="H145" s="9" t="s">
        <v>55</v>
      </c>
    </row>
    <row r="146" spans="2:8" ht="18" thickBot="1">
      <c r="B146" s="5">
        <v>46207</v>
      </c>
      <c r="C146" s="6">
        <v>76.355952380952203</v>
      </c>
      <c r="D146" s="10">
        <v>1111</v>
      </c>
      <c r="E146" s="14" t="s">
        <v>95</v>
      </c>
      <c r="F146" s="8"/>
      <c r="G146" s="8">
        <v>550</v>
      </c>
      <c r="H146" s="9"/>
    </row>
    <row r="147" spans="2:8" ht="18" thickBot="1">
      <c r="B147" s="5">
        <v>46207</v>
      </c>
      <c r="C147" s="6">
        <v>76.887499999999903</v>
      </c>
      <c r="D147" s="12">
        <v>5022</v>
      </c>
      <c r="E147" s="13" t="s">
        <v>101</v>
      </c>
      <c r="F147" s="8">
        <v>500</v>
      </c>
      <c r="G147" s="8"/>
      <c r="H147" s="9" t="s">
        <v>19</v>
      </c>
    </row>
    <row r="148" spans="2:8" ht="18" thickBot="1">
      <c r="B148" s="5">
        <v>46207</v>
      </c>
      <c r="C148" s="6">
        <v>77.419047619047504</v>
      </c>
      <c r="D148" s="10">
        <v>1111</v>
      </c>
      <c r="E148" s="14" t="s">
        <v>95</v>
      </c>
      <c r="F148" s="8"/>
      <c r="G148" s="8">
        <v>500</v>
      </c>
      <c r="H148" s="9"/>
    </row>
    <row r="149" spans="2:8" ht="17.399999999999999">
      <c r="B149" s="5">
        <v>46207</v>
      </c>
      <c r="C149" s="6">
        <v>77.950595238095104</v>
      </c>
      <c r="D149" s="10">
        <v>5015</v>
      </c>
      <c r="E149" s="11" t="s">
        <v>97</v>
      </c>
      <c r="F149" s="8">
        <v>500</v>
      </c>
      <c r="G149" s="8"/>
      <c r="H149" s="9" t="s">
        <v>50</v>
      </c>
    </row>
    <row r="150" spans="2:8" ht="18" thickBot="1">
      <c r="B150" s="5">
        <v>46207</v>
      </c>
      <c r="C150" s="6">
        <v>78.482142857142705</v>
      </c>
      <c r="D150" s="10">
        <v>1111</v>
      </c>
      <c r="E150" s="14" t="s">
        <v>95</v>
      </c>
      <c r="F150" s="8"/>
      <c r="G150" s="8">
        <v>500</v>
      </c>
      <c r="H150" s="9"/>
    </row>
    <row r="151" spans="2:8" ht="17.399999999999999">
      <c r="B151" s="5">
        <v>46207</v>
      </c>
      <c r="C151" s="6">
        <v>79.013690476190305</v>
      </c>
      <c r="D151" s="10">
        <v>5015</v>
      </c>
      <c r="E151" s="11" t="s">
        <v>97</v>
      </c>
      <c r="F151" s="8">
        <v>500</v>
      </c>
      <c r="G151" s="8"/>
      <c r="H151" s="9" t="s">
        <v>19</v>
      </c>
    </row>
    <row r="152" spans="2:8" ht="18" thickBot="1">
      <c r="B152" s="5">
        <v>46207</v>
      </c>
      <c r="C152" s="6">
        <v>79.545238095237906</v>
      </c>
      <c r="D152" s="10">
        <v>1111</v>
      </c>
      <c r="E152" s="14" t="s">
        <v>95</v>
      </c>
      <c r="F152" s="8"/>
      <c r="G152" s="8">
        <v>500</v>
      </c>
      <c r="H152" s="9"/>
    </row>
    <row r="153" spans="2:8">
      <c r="B153" s="5">
        <v>46207</v>
      </c>
      <c r="C153" s="6">
        <v>80.076785714285606</v>
      </c>
      <c r="D153" s="6">
        <v>2211</v>
      </c>
      <c r="E153" s="7" t="s">
        <v>105</v>
      </c>
      <c r="F153" s="8">
        <v>10000</v>
      </c>
      <c r="G153" s="8"/>
      <c r="H153" s="9" t="s">
        <v>35</v>
      </c>
    </row>
    <row r="154" spans="2:8" ht="18" thickBot="1">
      <c r="B154" s="5">
        <v>46207</v>
      </c>
      <c r="C154" s="6">
        <v>80.608333333333206</v>
      </c>
      <c r="D154" s="10">
        <v>1111</v>
      </c>
      <c r="E154" s="14" t="s">
        <v>95</v>
      </c>
      <c r="F154" s="8"/>
      <c r="G154" s="8">
        <v>10000</v>
      </c>
      <c r="H154" s="9"/>
    </row>
    <row r="155" spans="2:8" ht="17.399999999999999">
      <c r="B155" s="5">
        <v>46208</v>
      </c>
      <c r="C155" s="6">
        <v>81.139880952380807</v>
      </c>
      <c r="D155" s="6">
        <v>5003</v>
      </c>
      <c r="E155" s="11" t="s">
        <v>99</v>
      </c>
      <c r="F155" s="8">
        <v>2000</v>
      </c>
      <c r="G155" s="8"/>
      <c r="H155" s="9" t="s">
        <v>25</v>
      </c>
    </row>
    <row r="156" spans="2:8" ht="18" thickBot="1">
      <c r="B156" s="5">
        <v>46208</v>
      </c>
      <c r="C156" s="6">
        <v>81.671428571428393</v>
      </c>
      <c r="D156" s="10">
        <v>1111</v>
      </c>
      <c r="E156" s="14" t="s">
        <v>95</v>
      </c>
      <c r="F156" s="8"/>
      <c r="G156" s="8">
        <v>2000</v>
      </c>
      <c r="H156" s="9"/>
    </row>
    <row r="157" spans="2:8" ht="17.399999999999999">
      <c r="B157" s="5">
        <v>46208</v>
      </c>
      <c r="C157" s="6">
        <v>82.202976190475994</v>
      </c>
      <c r="D157" s="10">
        <v>5015</v>
      </c>
      <c r="E157" s="11" t="s">
        <v>97</v>
      </c>
      <c r="F157" s="8">
        <v>1000</v>
      </c>
      <c r="G157" s="8"/>
      <c r="H157" s="9" t="s">
        <v>50</v>
      </c>
    </row>
    <row r="158" spans="2:8" ht="18" thickBot="1">
      <c r="B158" s="5">
        <v>46208</v>
      </c>
      <c r="C158" s="6">
        <v>82.734523809523594</v>
      </c>
      <c r="D158" s="10">
        <v>1111</v>
      </c>
      <c r="E158" s="14" t="s">
        <v>95</v>
      </c>
      <c r="F158" s="8"/>
      <c r="G158" s="8">
        <v>1000</v>
      </c>
      <c r="H158" s="9"/>
    </row>
    <row r="159" spans="2:8" ht="17.399999999999999">
      <c r="B159" s="5">
        <v>46209</v>
      </c>
      <c r="C159" s="6">
        <v>83.266071428571294</v>
      </c>
      <c r="D159" s="10">
        <v>5015</v>
      </c>
      <c r="E159" s="11" t="s">
        <v>97</v>
      </c>
      <c r="F159" s="8">
        <v>1000</v>
      </c>
      <c r="G159" s="8"/>
      <c r="H159" s="9" t="s">
        <v>19</v>
      </c>
    </row>
    <row r="160" spans="2:8" ht="18" thickBot="1">
      <c r="B160" s="5">
        <v>46209</v>
      </c>
      <c r="C160" s="6">
        <v>83.797619047618895</v>
      </c>
      <c r="D160" s="10">
        <v>1111</v>
      </c>
      <c r="E160" s="14" t="s">
        <v>95</v>
      </c>
      <c r="F160" s="8"/>
      <c r="G160" s="8">
        <v>1000</v>
      </c>
      <c r="H160" s="9"/>
    </row>
    <row r="161" spans="2:8">
      <c r="B161" s="5">
        <v>46209</v>
      </c>
      <c r="C161" s="6">
        <v>84.329166666666495</v>
      </c>
      <c r="D161" s="6">
        <v>2211</v>
      </c>
      <c r="E161" s="7" t="s">
        <v>105</v>
      </c>
      <c r="F161" s="8">
        <v>12000</v>
      </c>
      <c r="G161" s="8"/>
      <c r="H161" s="9" t="s">
        <v>35</v>
      </c>
    </row>
    <row r="162" spans="2:8" ht="18" thickBot="1">
      <c r="B162" s="5">
        <v>46209</v>
      </c>
      <c r="C162" s="6">
        <v>84.860714285714096</v>
      </c>
      <c r="D162" s="10">
        <v>1111</v>
      </c>
      <c r="E162" s="14" t="s">
        <v>95</v>
      </c>
      <c r="F162" s="8"/>
      <c r="G162" s="8">
        <v>12000</v>
      </c>
      <c r="H162" s="9"/>
    </row>
    <row r="163" spans="2:8" ht="18" thickBot="1">
      <c r="B163" s="5">
        <v>46209</v>
      </c>
      <c r="C163" s="6">
        <v>85.392261904761696</v>
      </c>
      <c r="D163" s="12">
        <v>5022</v>
      </c>
      <c r="E163" s="13" t="s">
        <v>101</v>
      </c>
      <c r="F163" s="8">
        <v>5090</v>
      </c>
      <c r="G163" s="8"/>
      <c r="H163" s="9" t="s">
        <v>46</v>
      </c>
    </row>
    <row r="164" spans="2:8" ht="18" thickBot="1">
      <c r="B164" s="5">
        <v>46209</v>
      </c>
      <c r="C164" s="6">
        <v>85.923809523809396</v>
      </c>
      <c r="D164" s="10">
        <v>1111</v>
      </c>
      <c r="E164" s="14" t="s">
        <v>95</v>
      </c>
      <c r="F164" s="8"/>
      <c r="G164" s="8">
        <v>5090</v>
      </c>
      <c r="H164" s="9"/>
    </row>
    <row r="165" spans="2:8">
      <c r="B165" s="5">
        <v>46209</v>
      </c>
      <c r="C165" s="6">
        <v>86.455357142856997</v>
      </c>
      <c r="D165" s="6">
        <v>5101</v>
      </c>
      <c r="E165" s="7" t="str">
        <f>IFERROR(VLOOKUP(D165,'[1]دليل الحسابات'!$A$5:$E$102,2,0),"")</f>
        <v>المشتريات</v>
      </c>
      <c r="F165" s="8">
        <v>2850</v>
      </c>
      <c r="G165" s="8"/>
      <c r="H165" s="9" t="s">
        <v>56</v>
      </c>
    </row>
    <row r="166" spans="2:8" ht="18" thickBot="1">
      <c r="B166" s="5">
        <v>46209</v>
      </c>
      <c r="C166" s="6">
        <v>86.986904761904597</v>
      </c>
      <c r="D166" s="10">
        <v>1111</v>
      </c>
      <c r="E166" s="14" t="s">
        <v>95</v>
      </c>
      <c r="F166" s="8"/>
      <c r="G166" s="8">
        <v>2850</v>
      </c>
      <c r="H166" s="9"/>
    </row>
    <row r="167" spans="2:8" ht="18" thickBot="1">
      <c r="B167" s="5">
        <v>46210</v>
      </c>
      <c r="C167" s="6">
        <v>87.518452380952198</v>
      </c>
      <c r="D167" s="10">
        <v>1111</v>
      </c>
      <c r="E167" s="14" t="s">
        <v>95</v>
      </c>
      <c r="F167" s="8">
        <v>10000</v>
      </c>
      <c r="G167" s="8"/>
      <c r="H167" s="9" t="s">
        <v>57</v>
      </c>
    </row>
    <row r="168" spans="2:8">
      <c r="B168" s="5">
        <v>46210</v>
      </c>
      <c r="C168" s="6">
        <v>88.049999999999798</v>
      </c>
      <c r="D168" s="6">
        <v>1213</v>
      </c>
      <c r="E168" s="7" t="s">
        <v>104</v>
      </c>
      <c r="F168" s="8"/>
      <c r="G168" s="8">
        <v>10000</v>
      </c>
      <c r="H168" s="9" t="s">
        <v>57</v>
      </c>
    </row>
    <row r="169" spans="2:8">
      <c r="B169" s="5">
        <v>46210</v>
      </c>
      <c r="C169" s="6">
        <v>88.581547619047498</v>
      </c>
      <c r="D169" s="6">
        <v>5101</v>
      </c>
      <c r="E169" s="7" t="str">
        <f>IFERROR(VLOOKUP(D169,'[1]دليل الحسابات'!$A$5:$E$102,2,0),"")</f>
        <v>المشتريات</v>
      </c>
      <c r="F169" s="8">
        <v>4050</v>
      </c>
      <c r="G169" s="8"/>
      <c r="H169" s="9" t="s">
        <v>56</v>
      </c>
    </row>
    <row r="170" spans="2:8" ht="18" thickBot="1">
      <c r="B170" s="5">
        <v>46210</v>
      </c>
      <c r="C170" s="6">
        <v>89.113095238095099</v>
      </c>
      <c r="D170" s="10">
        <v>1111</v>
      </c>
      <c r="E170" s="14" t="s">
        <v>95</v>
      </c>
      <c r="F170" s="8"/>
      <c r="G170" s="8">
        <v>4050</v>
      </c>
      <c r="H170" s="9"/>
    </row>
    <row r="171" spans="2:8">
      <c r="B171" s="5">
        <v>46210</v>
      </c>
      <c r="C171" s="6">
        <v>89.644642857142699</v>
      </c>
      <c r="D171" s="6">
        <v>2211</v>
      </c>
      <c r="E171" s="7" t="s">
        <v>105</v>
      </c>
      <c r="F171" s="8">
        <v>15000</v>
      </c>
      <c r="G171" s="8"/>
      <c r="H171" s="9" t="s">
        <v>35</v>
      </c>
    </row>
    <row r="172" spans="2:8" ht="18" thickBot="1">
      <c r="B172" s="5">
        <v>46210</v>
      </c>
      <c r="C172" s="6">
        <v>90.1761904761903</v>
      </c>
      <c r="D172" s="10">
        <v>1111</v>
      </c>
      <c r="E172" s="14" t="s">
        <v>95</v>
      </c>
      <c r="F172" s="8"/>
      <c r="G172" s="8">
        <v>15000</v>
      </c>
      <c r="H172" s="9"/>
    </row>
    <row r="173" spans="2:8" ht="18" thickBot="1">
      <c r="B173" s="5">
        <v>46210</v>
      </c>
      <c r="C173" s="6">
        <v>90.7077380952379</v>
      </c>
      <c r="D173" s="12">
        <v>5002</v>
      </c>
      <c r="E173" s="13" t="s">
        <v>100</v>
      </c>
      <c r="F173" s="8">
        <v>200</v>
      </c>
      <c r="G173" s="8"/>
      <c r="H173" s="9" t="s">
        <v>37</v>
      </c>
    </row>
    <row r="174" spans="2:8" ht="18" thickBot="1">
      <c r="B174" s="5">
        <v>46210</v>
      </c>
      <c r="C174" s="6">
        <v>91.239285714285501</v>
      </c>
      <c r="D174" s="10">
        <v>1111</v>
      </c>
      <c r="E174" s="14" t="s">
        <v>95</v>
      </c>
      <c r="F174" s="8"/>
      <c r="G174" s="8">
        <v>200</v>
      </c>
      <c r="H174" s="9"/>
    </row>
    <row r="175" spans="2:8" ht="17.399999999999999">
      <c r="B175" s="5">
        <v>46210</v>
      </c>
      <c r="C175" s="6">
        <v>91.770833333333201</v>
      </c>
      <c r="D175" s="10">
        <v>5015</v>
      </c>
      <c r="E175" s="11" t="s">
        <v>97</v>
      </c>
      <c r="F175" s="8">
        <v>500</v>
      </c>
      <c r="G175" s="8"/>
      <c r="H175" s="9" t="s">
        <v>50</v>
      </c>
    </row>
    <row r="176" spans="2:8" ht="18" thickBot="1">
      <c r="B176" s="5">
        <v>46210</v>
      </c>
      <c r="C176" s="6">
        <v>92.302380952380801</v>
      </c>
      <c r="D176" s="10">
        <v>1111</v>
      </c>
      <c r="E176" s="14" t="s">
        <v>95</v>
      </c>
      <c r="F176" s="8"/>
      <c r="G176" s="8">
        <v>500</v>
      </c>
      <c r="H176" s="9"/>
    </row>
    <row r="177" spans="2:8" ht="17.399999999999999">
      <c r="B177" s="5">
        <v>46210</v>
      </c>
      <c r="C177" s="6">
        <v>92.833928571428402</v>
      </c>
      <c r="D177" s="10">
        <v>5015</v>
      </c>
      <c r="E177" s="11" t="s">
        <v>97</v>
      </c>
      <c r="F177" s="8">
        <v>1000</v>
      </c>
      <c r="G177" s="8"/>
      <c r="H177" s="9" t="s">
        <v>22</v>
      </c>
    </row>
    <row r="178" spans="2:8" ht="18" thickBot="1">
      <c r="B178" s="5">
        <v>46210</v>
      </c>
      <c r="C178" s="6">
        <v>93.365476190476002</v>
      </c>
      <c r="D178" s="10">
        <v>1111</v>
      </c>
      <c r="E178" s="14" t="s">
        <v>95</v>
      </c>
      <c r="F178" s="8"/>
      <c r="G178" s="8">
        <v>1000</v>
      </c>
      <c r="H178" s="9"/>
    </row>
    <row r="179" spans="2:8" ht="17.399999999999999">
      <c r="B179" s="5">
        <v>46211</v>
      </c>
      <c r="C179" s="6">
        <v>93.897023809523603</v>
      </c>
      <c r="D179" s="10">
        <v>5015</v>
      </c>
      <c r="E179" s="11" t="s">
        <v>97</v>
      </c>
      <c r="F179" s="8">
        <v>450</v>
      </c>
      <c r="G179" s="8"/>
      <c r="H179" s="9" t="s">
        <v>58</v>
      </c>
    </row>
    <row r="180" spans="2:8" ht="18" thickBot="1">
      <c r="B180" s="5">
        <v>46211</v>
      </c>
      <c r="C180" s="6">
        <v>94.428571428571303</v>
      </c>
      <c r="D180" s="10">
        <v>1111</v>
      </c>
      <c r="E180" s="14" t="s">
        <v>95</v>
      </c>
      <c r="F180" s="8"/>
      <c r="G180" s="8">
        <v>450</v>
      </c>
      <c r="H180" s="9"/>
    </row>
    <row r="181" spans="2:8" ht="17.399999999999999">
      <c r="B181" s="5">
        <v>46211</v>
      </c>
      <c r="C181" s="6">
        <v>94.960119047618903</v>
      </c>
      <c r="D181" s="10">
        <v>5015</v>
      </c>
      <c r="E181" s="11" t="s">
        <v>97</v>
      </c>
      <c r="F181" s="8">
        <v>1000</v>
      </c>
      <c r="G181" s="8"/>
      <c r="H181" s="9" t="s">
        <v>59</v>
      </c>
    </row>
    <row r="182" spans="2:8" ht="18" thickBot="1">
      <c r="B182" s="5">
        <v>46211</v>
      </c>
      <c r="C182" s="6">
        <v>95.491666666666504</v>
      </c>
      <c r="D182" s="10">
        <v>1111</v>
      </c>
      <c r="E182" s="14" t="s">
        <v>95</v>
      </c>
      <c r="F182" s="8"/>
      <c r="G182" s="8">
        <v>1000</v>
      </c>
      <c r="H182" s="9"/>
    </row>
    <row r="183" spans="2:8">
      <c r="B183" s="5">
        <v>46211</v>
      </c>
      <c r="C183" s="6">
        <v>96.023214285714104</v>
      </c>
      <c r="D183" s="6">
        <v>2211</v>
      </c>
      <c r="E183" s="7" t="s">
        <v>105</v>
      </c>
      <c r="F183" s="8">
        <v>15000</v>
      </c>
      <c r="G183" s="8"/>
      <c r="H183" s="9" t="s">
        <v>35</v>
      </c>
    </row>
    <row r="184" spans="2:8" ht="18" thickBot="1">
      <c r="B184" s="5">
        <v>46211</v>
      </c>
      <c r="C184" s="6">
        <v>96.554761904761705</v>
      </c>
      <c r="D184" s="10">
        <v>1111</v>
      </c>
      <c r="E184" s="14" t="s">
        <v>95</v>
      </c>
      <c r="F184" s="8"/>
      <c r="G184" s="8">
        <v>15000</v>
      </c>
      <c r="H184" s="9"/>
    </row>
    <row r="185" spans="2:8">
      <c r="B185" s="5">
        <v>46211</v>
      </c>
      <c r="C185" s="6">
        <v>97.086309523809305</v>
      </c>
      <c r="D185" s="6">
        <v>5101</v>
      </c>
      <c r="E185" s="7" t="str">
        <f>IFERROR(VLOOKUP(D185,'[1]دليل الحسابات'!$A$5:$E$102,2,0),"")</f>
        <v>المشتريات</v>
      </c>
      <c r="F185" s="8">
        <v>2100</v>
      </c>
      <c r="G185" s="8"/>
      <c r="H185" s="9" t="s">
        <v>60</v>
      </c>
    </row>
    <row r="186" spans="2:8" ht="18" thickBot="1">
      <c r="B186" s="5">
        <v>46211</v>
      </c>
      <c r="C186" s="6">
        <v>97.617857142857005</v>
      </c>
      <c r="D186" s="10">
        <v>1111</v>
      </c>
      <c r="E186" s="14" t="s">
        <v>95</v>
      </c>
      <c r="F186" s="8"/>
      <c r="G186" s="8">
        <v>2100</v>
      </c>
      <c r="H186" s="9"/>
    </row>
    <row r="187" spans="2:8" ht="18" thickBot="1">
      <c r="B187" s="5">
        <v>46212</v>
      </c>
      <c r="C187" s="6">
        <v>98.149404761904606</v>
      </c>
      <c r="D187" s="12">
        <v>5022</v>
      </c>
      <c r="E187" s="13" t="s">
        <v>101</v>
      </c>
      <c r="F187" s="8">
        <v>300</v>
      </c>
      <c r="G187" s="8"/>
      <c r="H187" s="9" t="s">
        <v>33</v>
      </c>
    </row>
    <row r="188" spans="2:8" ht="18" thickBot="1">
      <c r="B188" s="5">
        <v>46212</v>
      </c>
      <c r="C188" s="6">
        <v>98.680952380952206</v>
      </c>
      <c r="D188" s="10">
        <v>1111</v>
      </c>
      <c r="E188" s="14" t="s">
        <v>95</v>
      </c>
      <c r="F188" s="8"/>
      <c r="G188" s="8">
        <v>300</v>
      </c>
      <c r="H188" s="9"/>
    </row>
    <row r="189" spans="2:8">
      <c r="B189" s="5">
        <v>46212</v>
      </c>
      <c r="C189" s="6">
        <v>99.212499999999807</v>
      </c>
      <c r="D189" s="6">
        <v>2212</v>
      </c>
      <c r="E189" s="7" t="s">
        <v>106</v>
      </c>
      <c r="F189" s="8">
        <v>12673</v>
      </c>
      <c r="G189" s="8"/>
      <c r="H189" s="9" t="s">
        <v>45</v>
      </c>
    </row>
    <row r="190" spans="2:8" ht="18" thickBot="1">
      <c r="B190" s="5">
        <v>46212</v>
      </c>
      <c r="C190" s="6">
        <v>99.744047619047393</v>
      </c>
      <c r="D190" s="10">
        <v>1111</v>
      </c>
      <c r="E190" s="14" t="s">
        <v>95</v>
      </c>
      <c r="F190" s="8"/>
      <c r="G190" s="8">
        <v>12673</v>
      </c>
      <c r="H190" s="9"/>
    </row>
    <row r="191" spans="2:8">
      <c r="B191" s="5">
        <v>46212</v>
      </c>
      <c r="C191" s="6">
        <v>100.27559523809499</v>
      </c>
      <c r="D191" s="6">
        <v>2213</v>
      </c>
      <c r="E191" s="7" t="s">
        <v>107</v>
      </c>
      <c r="F191" s="8">
        <v>27206</v>
      </c>
      <c r="G191" s="8"/>
      <c r="H191" s="9" t="s">
        <v>61</v>
      </c>
    </row>
    <row r="192" spans="2:8" ht="18" thickBot="1">
      <c r="B192" s="5">
        <v>46212</v>
      </c>
      <c r="C192" s="6">
        <v>100.80714285714301</v>
      </c>
      <c r="D192" s="10">
        <v>1111</v>
      </c>
      <c r="E192" s="14" t="s">
        <v>95</v>
      </c>
      <c r="F192" s="8"/>
      <c r="G192" s="8">
        <v>27206</v>
      </c>
      <c r="H192" s="9"/>
    </row>
    <row r="193" spans="2:8" ht="18" thickBot="1">
      <c r="B193" s="5">
        <v>46212</v>
      </c>
      <c r="C193" s="6">
        <v>101.33869047619</v>
      </c>
      <c r="D193" s="12">
        <v>5022</v>
      </c>
      <c r="E193" s="13" t="s">
        <v>101</v>
      </c>
      <c r="F193" s="8">
        <v>1550</v>
      </c>
      <c r="G193" s="8"/>
      <c r="H193" s="9" t="s">
        <v>62</v>
      </c>
    </row>
    <row r="194" spans="2:8" ht="18" thickBot="1">
      <c r="B194" s="5">
        <v>46212</v>
      </c>
      <c r="C194" s="6">
        <v>101.87023809523799</v>
      </c>
      <c r="D194" s="10">
        <v>1111</v>
      </c>
      <c r="E194" s="14" t="s">
        <v>95</v>
      </c>
      <c r="F194" s="8"/>
      <c r="G194" s="8">
        <v>1550</v>
      </c>
      <c r="H194" s="9"/>
    </row>
    <row r="195" spans="2:8" ht="17.399999999999999">
      <c r="B195" s="5">
        <v>46212</v>
      </c>
      <c r="C195" s="6">
        <v>102.40178571428601</v>
      </c>
      <c r="D195" s="10">
        <v>5015</v>
      </c>
      <c r="E195" s="11" t="s">
        <v>97</v>
      </c>
      <c r="F195" s="8">
        <v>1500</v>
      </c>
      <c r="G195" s="8"/>
      <c r="H195" s="9" t="s">
        <v>63</v>
      </c>
    </row>
    <row r="196" spans="2:8" ht="18" thickBot="1">
      <c r="B196" s="5">
        <v>46212</v>
      </c>
      <c r="C196" s="6">
        <v>102.933333333333</v>
      </c>
      <c r="D196" s="10">
        <v>1111</v>
      </c>
      <c r="E196" s="14" t="s">
        <v>95</v>
      </c>
      <c r="F196" s="8"/>
      <c r="G196" s="8">
        <v>1500</v>
      </c>
      <c r="H196" s="9"/>
    </row>
    <row r="197" spans="2:8" ht="18" thickBot="1">
      <c r="B197" s="5">
        <v>46212</v>
      </c>
      <c r="C197" s="6">
        <v>103.46488095238099</v>
      </c>
      <c r="D197" s="12">
        <v>5002</v>
      </c>
      <c r="E197" s="13" t="s">
        <v>100</v>
      </c>
      <c r="F197" s="8">
        <v>3000</v>
      </c>
      <c r="G197" s="8"/>
      <c r="H197" s="9" t="s">
        <v>37</v>
      </c>
    </row>
    <row r="198" spans="2:8" ht="18" thickBot="1">
      <c r="B198" s="5">
        <v>46212</v>
      </c>
      <c r="C198" s="6">
        <v>103.996428571428</v>
      </c>
      <c r="D198" s="10">
        <v>1111</v>
      </c>
      <c r="E198" s="14" t="s">
        <v>95</v>
      </c>
      <c r="F198" s="8"/>
      <c r="G198" s="8">
        <v>3000</v>
      </c>
      <c r="H198" s="9"/>
    </row>
    <row r="199" spans="2:8" ht="18" thickBot="1">
      <c r="B199" s="5">
        <v>46212</v>
      </c>
      <c r="C199" s="6">
        <v>104.527976190476</v>
      </c>
      <c r="D199" s="12">
        <v>5002</v>
      </c>
      <c r="E199" s="13" t="s">
        <v>100</v>
      </c>
      <c r="F199" s="8">
        <v>800</v>
      </c>
      <c r="G199" s="8"/>
      <c r="H199" s="9" t="s">
        <v>38</v>
      </c>
    </row>
    <row r="200" spans="2:8" ht="18" thickBot="1">
      <c r="B200" s="5">
        <v>46212</v>
      </c>
      <c r="C200" s="6">
        <v>105.05952380952399</v>
      </c>
      <c r="D200" s="10">
        <v>1111</v>
      </c>
      <c r="E200" s="14" t="s">
        <v>95</v>
      </c>
      <c r="F200" s="8"/>
      <c r="G200" s="8">
        <v>800</v>
      </c>
      <c r="H200" s="9"/>
    </row>
    <row r="201" spans="2:8" ht="17.399999999999999">
      <c r="B201" s="5">
        <v>46212</v>
      </c>
      <c r="C201" s="6">
        <v>105.591071428571</v>
      </c>
      <c r="D201" s="10">
        <v>5015</v>
      </c>
      <c r="E201" s="11" t="s">
        <v>97</v>
      </c>
      <c r="F201" s="8">
        <v>1000</v>
      </c>
      <c r="G201" s="8"/>
      <c r="H201" s="9" t="s">
        <v>50</v>
      </c>
    </row>
    <row r="202" spans="2:8" ht="18" thickBot="1">
      <c r="B202" s="5">
        <v>46212</v>
      </c>
      <c r="C202" s="6">
        <v>106.122619047619</v>
      </c>
      <c r="D202" s="10">
        <v>1111</v>
      </c>
      <c r="E202" s="14" t="s">
        <v>95</v>
      </c>
      <c r="F202" s="8"/>
      <c r="G202" s="8">
        <v>1000</v>
      </c>
      <c r="H202" s="9"/>
    </row>
    <row r="203" spans="2:8" ht="18" thickBot="1">
      <c r="B203" s="5">
        <v>46212</v>
      </c>
      <c r="C203" s="6">
        <v>106.654166666667</v>
      </c>
      <c r="D203" s="10">
        <v>1111</v>
      </c>
      <c r="E203" s="14" t="s">
        <v>95</v>
      </c>
      <c r="F203" s="8">
        <v>10000</v>
      </c>
      <c r="G203" s="8"/>
      <c r="H203" s="9" t="s">
        <v>64</v>
      </c>
    </row>
    <row r="204" spans="2:8">
      <c r="B204" s="5">
        <v>46212</v>
      </c>
      <c r="C204" s="6">
        <v>107.185714285714</v>
      </c>
      <c r="D204" s="6">
        <v>1211</v>
      </c>
      <c r="E204" s="7" t="s">
        <v>102</v>
      </c>
      <c r="F204" s="8"/>
      <c r="G204" s="8">
        <v>10000</v>
      </c>
      <c r="H204" s="9" t="s">
        <v>64</v>
      </c>
    </row>
    <row r="205" spans="2:8" ht="18" thickBot="1">
      <c r="B205" s="5">
        <v>46212</v>
      </c>
      <c r="C205" s="6">
        <v>107.717261904762</v>
      </c>
      <c r="D205" s="12">
        <v>5022</v>
      </c>
      <c r="E205" s="13" t="s">
        <v>101</v>
      </c>
      <c r="F205" s="8">
        <v>250</v>
      </c>
      <c r="G205" s="8"/>
      <c r="H205" s="9" t="s">
        <v>50</v>
      </c>
    </row>
    <row r="206" spans="2:8" ht="18" thickBot="1">
      <c r="B206" s="5">
        <v>46212</v>
      </c>
      <c r="C206" s="6">
        <v>108.24880952381</v>
      </c>
      <c r="D206" s="10">
        <v>1111</v>
      </c>
      <c r="E206" s="14" t="s">
        <v>95</v>
      </c>
      <c r="F206" s="8"/>
      <c r="G206" s="8">
        <v>250</v>
      </c>
      <c r="H206" s="9"/>
    </row>
    <row r="207" spans="2:8" ht="17.399999999999999">
      <c r="B207" s="5">
        <v>46212</v>
      </c>
      <c r="C207" s="6">
        <v>108.780357142857</v>
      </c>
      <c r="D207" s="10">
        <v>5015</v>
      </c>
      <c r="E207" s="11" t="s">
        <v>97</v>
      </c>
      <c r="F207" s="8">
        <v>3000</v>
      </c>
      <c r="G207" s="8"/>
      <c r="H207" s="9" t="s">
        <v>65</v>
      </c>
    </row>
    <row r="208" spans="2:8" ht="18" thickBot="1">
      <c r="B208" s="5">
        <v>46212</v>
      </c>
      <c r="C208" s="6">
        <v>109.311904761905</v>
      </c>
      <c r="D208" s="10">
        <v>1111</v>
      </c>
      <c r="E208" s="14" t="s">
        <v>95</v>
      </c>
      <c r="F208" s="8"/>
      <c r="G208" s="8">
        <v>3000</v>
      </c>
      <c r="H208" s="9"/>
    </row>
    <row r="209" spans="2:8">
      <c r="B209" s="5">
        <v>46212</v>
      </c>
      <c r="C209" s="6">
        <v>109.843452380952</v>
      </c>
      <c r="D209" s="6">
        <v>2212</v>
      </c>
      <c r="E209" s="7" t="s">
        <v>106</v>
      </c>
      <c r="F209" s="8">
        <v>6775</v>
      </c>
      <c r="G209" s="8"/>
      <c r="H209" s="9" t="s">
        <v>45</v>
      </c>
    </row>
    <row r="210" spans="2:8" ht="18" thickBot="1">
      <c r="B210" s="5">
        <v>46212</v>
      </c>
      <c r="C210" s="6">
        <v>110.375</v>
      </c>
      <c r="D210" s="10">
        <v>1111</v>
      </c>
      <c r="E210" s="14" t="s">
        <v>95</v>
      </c>
      <c r="F210" s="8"/>
      <c r="G210" s="8">
        <v>6775</v>
      </c>
      <c r="H210" s="9"/>
    </row>
    <row r="211" spans="2:8">
      <c r="B211" s="5">
        <v>46212</v>
      </c>
      <c r="C211" s="6">
        <v>110.906547619048</v>
      </c>
      <c r="D211" s="6">
        <v>5101</v>
      </c>
      <c r="E211" s="7" t="str">
        <f>IFERROR(VLOOKUP(D211,'[1]دليل الحسابات'!$A$5:$E$102,2,0),"")</f>
        <v>المشتريات</v>
      </c>
      <c r="F211" s="8">
        <v>5875</v>
      </c>
      <c r="G211" s="8"/>
      <c r="H211" s="9" t="s">
        <v>66</v>
      </c>
    </row>
    <row r="212" spans="2:8" ht="18" thickBot="1">
      <c r="B212" s="5">
        <v>46212</v>
      </c>
      <c r="C212" s="6">
        <v>111.438095238095</v>
      </c>
      <c r="D212" s="10">
        <v>1111</v>
      </c>
      <c r="E212" s="14" t="s">
        <v>95</v>
      </c>
      <c r="F212" s="8"/>
      <c r="G212" s="8">
        <v>5875</v>
      </c>
      <c r="H212" s="9"/>
    </row>
    <row r="213" spans="2:8">
      <c r="B213" s="5">
        <v>46212</v>
      </c>
      <c r="C213" s="6">
        <v>111.969642857143</v>
      </c>
      <c r="D213" s="6">
        <v>2211</v>
      </c>
      <c r="E213" s="7" t="s">
        <v>105</v>
      </c>
      <c r="F213" s="8">
        <v>15000</v>
      </c>
      <c r="G213" s="8"/>
      <c r="H213" s="9" t="s">
        <v>35</v>
      </c>
    </row>
    <row r="214" spans="2:8" ht="18" thickBot="1">
      <c r="B214" s="5">
        <v>46212</v>
      </c>
      <c r="C214" s="6">
        <v>112.50119047619</v>
      </c>
      <c r="D214" s="10">
        <v>1111</v>
      </c>
      <c r="E214" s="14" t="s">
        <v>95</v>
      </c>
      <c r="F214" s="8"/>
      <c r="G214" s="8">
        <v>15000</v>
      </c>
      <c r="H214" s="9"/>
    </row>
    <row r="215" spans="2:8" ht="17.399999999999999">
      <c r="B215" s="5">
        <v>46215</v>
      </c>
      <c r="C215" s="6">
        <v>113.032738095238</v>
      </c>
      <c r="D215" s="10">
        <v>5015</v>
      </c>
      <c r="E215" s="11" t="s">
        <v>97</v>
      </c>
      <c r="F215" s="8">
        <v>5000</v>
      </c>
      <c r="G215" s="8"/>
      <c r="H215" s="9" t="s">
        <v>67</v>
      </c>
    </row>
    <row r="216" spans="2:8" ht="18" thickBot="1">
      <c r="B216" s="5">
        <v>46215</v>
      </c>
      <c r="C216" s="6">
        <v>113.564285714286</v>
      </c>
      <c r="D216" s="10">
        <v>1111</v>
      </c>
      <c r="E216" s="14" t="s">
        <v>95</v>
      </c>
      <c r="F216" s="8"/>
      <c r="G216" s="8">
        <v>5000</v>
      </c>
      <c r="H216" s="9"/>
    </row>
    <row r="217" spans="2:8">
      <c r="B217" s="5">
        <v>46216</v>
      </c>
      <c r="C217" s="6">
        <v>114.095833333333</v>
      </c>
      <c r="D217" s="6">
        <v>5101</v>
      </c>
      <c r="E217" s="7" t="str">
        <f>IFERROR(VLOOKUP(D217,'[1]دليل الحسابات'!$A$5:$E$102,2,0),"")</f>
        <v>المشتريات</v>
      </c>
      <c r="F217" s="8">
        <v>1875</v>
      </c>
      <c r="G217" s="8"/>
      <c r="H217" s="9" t="s">
        <v>68</v>
      </c>
    </row>
    <row r="218" spans="2:8" ht="18" thickBot="1">
      <c r="B218" s="5">
        <v>46216</v>
      </c>
      <c r="C218" s="6">
        <v>114.627380952381</v>
      </c>
      <c r="D218" s="10">
        <v>1111</v>
      </c>
      <c r="E218" s="14" t="s">
        <v>95</v>
      </c>
      <c r="F218" s="8"/>
      <c r="G218" s="8">
        <v>1875</v>
      </c>
      <c r="H218" s="9"/>
    </row>
    <row r="219" spans="2:8" ht="18" thickBot="1">
      <c r="B219" s="5">
        <v>46217</v>
      </c>
      <c r="C219" s="6">
        <v>115.158928571429</v>
      </c>
      <c r="D219" s="12">
        <v>5002</v>
      </c>
      <c r="E219" s="13" t="s">
        <v>100</v>
      </c>
      <c r="F219" s="8">
        <v>1500</v>
      </c>
      <c r="G219" s="8"/>
      <c r="H219" s="9" t="s">
        <v>69</v>
      </c>
    </row>
    <row r="220" spans="2:8" ht="18" thickBot="1">
      <c r="B220" s="5">
        <v>46217</v>
      </c>
      <c r="C220" s="6">
        <v>115.69047619047601</v>
      </c>
      <c r="D220" s="10">
        <v>1111</v>
      </c>
      <c r="E220" s="14" t="s">
        <v>95</v>
      </c>
      <c r="F220" s="8"/>
      <c r="G220" s="8">
        <v>1500</v>
      </c>
      <c r="H220" s="9"/>
    </row>
    <row r="221" spans="2:8" ht="18" thickBot="1">
      <c r="B221" s="5">
        <v>46217</v>
      </c>
      <c r="C221" s="6">
        <v>116.222023809524</v>
      </c>
      <c r="D221" s="12">
        <v>5002</v>
      </c>
      <c r="E221" s="13" t="s">
        <v>100</v>
      </c>
      <c r="F221" s="8">
        <v>1350</v>
      </c>
      <c r="G221" s="8"/>
      <c r="H221" s="9" t="s">
        <v>69</v>
      </c>
    </row>
    <row r="222" spans="2:8" ht="18" thickBot="1">
      <c r="B222" s="5">
        <v>46217</v>
      </c>
      <c r="C222" s="6">
        <v>116.75357142857099</v>
      </c>
      <c r="D222" s="10">
        <v>1111</v>
      </c>
      <c r="E222" s="14" t="s">
        <v>95</v>
      </c>
      <c r="F222" s="8"/>
      <c r="G222" s="8">
        <v>1350</v>
      </c>
      <c r="H222" s="9"/>
    </row>
    <row r="223" spans="2:8" ht="18" thickBot="1">
      <c r="B223" s="5">
        <v>46217</v>
      </c>
      <c r="C223" s="6">
        <v>117.28511904761901</v>
      </c>
      <c r="D223" s="12">
        <v>5002</v>
      </c>
      <c r="E223" s="13" t="s">
        <v>100</v>
      </c>
      <c r="F223" s="8">
        <v>1000</v>
      </c>
      <c r="G223" s="8"/>
      <c r="H223" s="9" t="s">
        <v>69</v>
      </c>
    </row>
    <row r="224" spans="2:8" ht="18" thickBot="1">
      <c r="B224" s="5">
        <v>46217</v>
      </c>
      <c r="C224" s="6">
        <v>117.816666666667</v>
      </c>
      <c r="D224" s="10">
        <v>1111</v>
      </c>
      <c r="E224" s="14" t="s">
        <v>95</v>
      </c>
      <c r="F224" s="8"/>
      <c r="G224" s="8">
        <v>1000</v>
      </c>
      <c r="H224" s="9"/>
    </row>
    <row r="225" spans="2:8" ht="18" thickBot="1">
      <c r="B225" s="5">
        <v>46217</v>
      </c>
      <c r="C225" s="6">
        <v>118.34821428571399</v>
      </c>
      <c r="D225" s="12">
        <v>5002</v>
      </c>
      <c r="E225" s="13" t="s">
        <v>100</v>
      </c>
      <c r="F225" s="8">
        <v>2200</v>
      </c>
      <c r="G225" s="8"/>
      <c r="H225" s="9" t="s">
        <v>69</v>
      </c>
    </row>
    <row r="226" spans="2:8" ht="18" thickBot="1">
      <c r="B226" s="5">
        <v>46217</v>
      </c>
      <c r="C226" s="6">
        <v>118.87976190476201</v>
      </c>
      <c r="D226" s="10">
        <v>1111</v>
      </c>
      <c r="E226" s="14" t="s">
        <v>95</v>
      </c>
      <c r="F226" s="8"/>
      <c r="G226" s="8">
        <v>2200</v>
      </c>
      <c r="H226" s="9"/>
    </row>
    <row r="227" spans="2:8" ht="18" thickBot="1">
      <c r="B227" s="5">
        <v>46217</v>
      </c>
      <c r="C227" s="6">
        <v>119.41130952381</v>
      </c>
      <c r="D227" s="12">
        <v>5002</v>
      </c>
      <c r="E227" s="13" t="s">
        <v>100</v>
      </c>
      <c r="F227" s="8">
        <v>1000</v>
      </c>
      <c r="G227" s="8"/>
      <c r="H227" s="9" t="s">
        <v>70</v>
      </c>
    </row>
    <row r="228" spans="2:8" ht="18" thickBot="1">
      <c r="B228" s="5">
        <v>46217</v>
      </c>
      <c r="C228" s="6">
        <v>119.94285714285699</v>
      </c>
      <c r="D228" s="10">
        <v>1111</v>
      </c>
      <c r="E228" s="14" t="s">
        <v>95</v>
      </c>
      <c r="F228" s="8"/>
      <c r="G228" s="8">
        <v>1000</v>
      </c>
      <c r="H228" s="9"/>
    </row>
    <row r="229" spans="2:8" ht="18" thickBot="1">
      <c r="B229" s="5">
        <v>46218</v>
      </c>
      <c r="C229" s="6">
        <v>120.47440476190501</v>
      </c>
      <c r="D229" s="12">
        <v>5022</v>
      </c>
      <c r="E229" s="13" t="s">
        <v>101</v>
      </c>
      <c r="F229" s="8">
        <v>340</v>
      </c>
      <c r="G229" s="8"/>
      <c r="H229" s="9" t="s">
        <v>71</v>
      </c>
    </row>
    <row r="230" spans="2:8" ht="18" thickBot="1">
      <c r="B230" s="5">
        <v>46218</v>
      </c>
      <c r="C230" s="6">
        <v>121.005952380952</v>
      </c>
      <c r="D230" s="10">
        <v>1111</v>
      </c>
      <c r="E230" s="14" t="s">
        <v>95</v>
      </c>
      <c r="F230" s="8"/>
      <c r="G230" s="8">
        <v>340</v>
      </c>
      <c r="H230" s="9"/>
    </row>
    <row r="231" spans="2:8" ht="18" thickBot="1">
      <c r="B231" s="5">
        <v>46218</v>
      </c>
      <c r="C231" s="6">
        <v>121.53749999999999</v>
      </c>
      <c r="D231" s="10">
        <v>1111</v>
      </c>
      <c r="E231" s="14" t="s">
        <v>95</v>
      </c>
      <c r="F231" s="8">
        <v>10000</v>
      </c>
      <c r="G231" s="8"/>
      <c r="H231" s="9" t="s">
        <v>64</v>
      </c>
    </row>
    <row r="232" spans="2:8">
      <c r="B232" s="5">
        <v>46218</v>
      </c>
      <c r="C232" s="6">
        <v>122.06904761904801</v>
      </c>
      <c r="D232" s="6">
        <v>1211</v>
      </c>
      <c r="E232" s="7" t="s">
        <v>102</v>
      </c>
      <c r="F232" s="8"/>
      <c r="G232" s="8">
        <v>10000</v>
      </c>
      <c r="H232" s="9" t="s">
        <v>64</v>
      </c>
    </row>
    <row r="233" spans="2:8" ht="18" thickBot="1">
      <c r="B233" s="5">
        <v>46218</v>
      </c>
      <c r="C233" s="6">
        <v>122.600595238095</v>
      </c>
      <c r="D233" s="10">
        <v>1111</v>
      </c>
      <c r="E233" s="14" t="s">
        <v>95</v>
      </c>
      <c r="F233" s="8">
        <v>10000</v>
      </c>
      <c r="G233" s="8"/>
      <c r="H233" s="9" t="s">
        <v>57</v>
      </c>
    </row>
    <row r="234" spans="2:8">
      <c r="B234" s="5">
        <v>46218</v>
      </c>
      <c r="C234" s="6">
        <v>123.13214285714299</v>
      </c>
      <c r="D234" s="6">
        <v>1213</v>
      </c>
      <c r="E234" s="7" t="s">
        <v>104</v>
      </c>
      <c r="F234" s="8"/>
      <c r="G234" s="8">
        <v>10000</v>
      </c>
      <c r="H234" s="9" t="s">
        <v>57</v>
      </c>
    </row>
    <row r="235" spans="2:8" ht="17.399999999999999">
      <c r="B235" s="5">
        <v>46218</v>
      </c>
      <c r="C235" s="6">
        <v>123.66369047619</v>
      </c>
      <c r="D235" s="10">
        <v>5015</v>
      </c>
      <c r="E235" s="11" t="s">
        <v>97</v>
      </c>
      <c r="F235" s="8">
        <v>4425</v>
      </c>
      <c r="G235" s="8"/>
      <c r="H235" s="9" t="s">
        <v>67</v>
      </c>
    </row>
    <row r="236" spans="2:8" ht="18" thickBot="1">
      <c r="B236" s="5">
        <v>46218</v>
      </c>
      <c r="C236" s="6">
        <v>124.195238095238</v>
      </c>
      <c r="D236" s="10">
        <v>1111</v>
      </c>
      <c r="E236" s="14" t="s">
        <v>95</v>
      </c>
      <c r="F236" s="8"/>
      <c r="G236" s="8">
        <v>4425</v>
      </c>
      <c r="H236" s="9"/>
    </row>
    <row r="237" spans="2:8" ht="17.399999999999999">
      <c r="B237" s="5">
        <v>46218</v>
      </c>
      <c r="C237" s="6">
        <v>124.726785714286</v>
      </c>
      <c r="D237" s="10">
        <v>5015</v>
      </c>
      <c r="E237" s="11" t="s">
        <v>97</v>
      </c>
      <c r="F237" s="8">
        <v>3000</v>
      </c>
      <c r="G237" s="8"/>
      <c r="H237" s="9" t="s">
        <v>19</v>
      </c>
    </row>
    <row r="238" spans="2:8" ht="18" thickBot="1">
      <c r="B238" s="5">
        <v>46218</v>
      </c>
      <c r="C238" s="6">
        <v>125.258333333333</v>
      </c>
      <c r="D238" s="10">
        <v>1111</v>
      </c>
      <c r="E238" s="14" t="s">
        <v>95</v>
      </c>
      <c r="F238" s="8"/>
      <c r="G238" s="8">
        <v>3000</v>
      </c>
      <c r="H238" s="9"/>
    </row>
    <row r="239" spans="2:8" ht="17.399999999999999">
      <c r="B239" s="5">
        <v>46218</v>
      </c>
      <c r="C239" s="6">
        <v>125.789880952381</v>
      </c>
      <c r="D239" s="10">
        <v>5015</v>
      </c>
      <c r="E239" s="11" t="s">
        <v>97</v>
      </c>
      <c r="F239" s="8">
        <v>12000</v>
      </c>
      <c r="G239" s="8"/>
      <c r="H239" s="9" t="s">
        <v>72</v>
      </c>
    </row>
    <row r="240" spans="2:8" ht="18" thickBot="1">
      <c r="B240" s="5">
        <v>46218</v>
      </c>
      <c r="C240" s="6">
        <v>126.321428571429</v>
      </c>
      <c r="D240" s="10">
        <v>1111</v>
      </c>
      <c r="E240" s="14" t="s">
        <v>95</v>
      </c>
      <c r="F240" s="8"/>
      <c r="G240" s="8">
        <v>12000</v>
      </c>
      <c r="H240" s="9"/>
    </row>
    <row r="241" spans="2:8" ht="18" thickBot="1">
      <c r="B241" s="5">
        <v>46219</v>
      </c>
      <c r="C241" s="6">
        <v>126.852976190476</v>
      </c>
      <c r="D241" s="12">
        <v>5022</v>
      </c>
      <c r="E241" s="13" t="s">
        <v>101</v>
      </c>
      <c r="F241" s="8">
        <v>100</v>
      </c>
      <c r="G241" s="8"/>
      <c r="H241" s="9" t="s">
        <v>73</v>
      </c>
    </row>
    <row r="242" spans="2:8" ht="18" thickBot="1">
      <c r="B242" s="5">
        <v>46219</v>
      </c>
      <c r="C242" s="6">
        <v>127.384523809524</v>
      </c>
      <c r="D242" s="10">
        <v>1111</v>
      </c>
      <c r="E242" s="14" t="s">
        <v>95</v>
      </c>
      <c r="F242" s="8"/>
      <c r="G242" s="8">
        <v>100</v>
      </c>
      <c r="H242" s="9"/>
    </row>
    <row r="243" spans="2:8">
      <c r="B243" s="5">
        <v>46219</v>
      </c>
      <c r="C243" s="6">
        <v>127.916071428571</v>
      </c>
      <c r="D243" s="6">
        <v>3001</v>
      </c>
      <c r="E243" s="7" t="str">
        <f>IFERROR(VLOOKUP(D243,'[1]دليل الحسابات'!$A$5:$E$102,2,0),"")</f>
        <v/>
      </c>
      <c r="F243" s="8">
        <v>5170</v>
      </c>
      <c r="G243" s="8"/>
      <c r="H243" s="9" t="s">
        <v>74</v>
      </c>
    </row>
    <row r="244" spans="2:8" ht="18" thickBot="1">
      <c r="B244" s="5">
        <v>46219</v>
      </c>
      <c r="C244" s="6">
        <v>128.44761904761901</v>
      </c>
      <c r="D244" s="10">
        <v>1111</v>
      </c>
      <c r="E244" s="14" t="s">
        <v>95</v>
      </c>
      <c r="F244" s="8"/>
      <c r="G244" s="8">
        <v>5170</v>
      </c>
      <c r="H244" s="9" t="s">
        <v>74</v>
      </c>
    </row>
    <row r="245" spans="2:8" ht="18" thickBot="1">
      <c r="B245" s="5">
        <v>46219</v>
      </c>
      <c r="C245" s="6">
        <v>128.979166666667</v>
      </c>
      <c r="D245" s="12">
        <v>5002</v>
      </c>
      <c r="E245" s="13" t="s">
        <v>100</v>
      </c>
      <c r="F245" s="8">
        <v>5400</v>
      </c>
      <c r="G245" s="8"/>
      <c r="H245" s="9" t="s">
        <v>37</v>
      </c>
    </row>
    <row r="246" spans="2:8" ht="18" thickBot="1">
      <c r="B246" s="5">
        <v>46219</v>
      </c>
      <c r="C246" s="6">
        <v>129.51071428571399</v>
      </c>
      <c r="D246" s="10">
        <v>1111</v>
      </c>
      <c r="E246" s="14" t="s">
        <v>95</v>
      </c>
      <c r="F246" s="8"/>
      <c r="G246" s="8">
        <v>5400</v>
      </c>
      <c r="H246" s="9"/>
    </row>
    <row r="247" spans="2:8" ht="18" thickBot="1">
      <c r="B247" s="5">
        <v>46219</v>
      </c>
      <c r="C247" s="6">
        <v>130.042261904762</v>
      </c>
      <c r="D247" s="12">
        <v>5002</v>
      </c>
      <c r="E247" s="13" t="s">
        <v>100</v>
      </c>
      <c r="F247" s="8">
        <v>800</v>
      </c>
      <c r="G247" s="8"/>
      <c r="H247" s="9" t="s">
        <v>38</v>
      </c>
    </row>
    <row r="248" spans="2:8" ht="18" thickBot="1">
      <c r="B248" s="5">
        <v>46219</v>
      </c>
      <c r="C248" s="6">
        <v>130.57380952380899</v>
      </c>
      <c r="D248" s="10">
        <v>1111</v>
      </c>
      <c r="E248" s="14" t="s">
        <v>95</v>
      </c>
      <c r="F248" s="8"/>
      <c r="G248" s="8">
        <v>800</v>
      </c>
      <c r="H248" s="9"/>
    </row>
    <row r="249" spans="2:8">
      <c r="B249" s="5">
        <v>46220</v>
      </c>
      <c r="C249" s="6">
        <v>131.105357142857</v>
      </c>
      <c r="D249" s="6">
        <v>5101</v>
      </c>
      <c r="E249" s="7" t="str">
        <f>IFERROR(VLOOKUP(D249,'[1]دليل الحسابات'!$A$5:$E$102,2,0),"")</f>
        <v>المشتريات</v>
      </c>
      <c r="F249" s="8">
        <v>2897</v>
      </c>
      <c r="G249" s="8"/>
      <c r="H249" s="9" t="s">
        <v>75</v>
      </c>
    </row>
    <row r="250" spans="2:8">
      <c r="B250" s="5">
        <v>46220</v>
      </c>
      <c r="C250" s="6">
        <v>131.63690476190499</v>
      </c>
      <c r="D250" s="6">
        <v>2212</v>
      </c>
      <c r="E250" s="7" t="s">
        <v>106</v>
      </c>
      <c r="F250" s="8"/>
      <c r="G250" s="8">
        <v>2897</v>
      </c>
      <c r="H250" s="9" t="s">
        <v>76</v>
      </c>
    </row>
    <row r="251" spans="2:8">
      <c r="B251" s="5">
        <v>46220</v>
      </c>
      <c r="C251" s="6">
        <v>132.168452380952</v>
      </c>
      <c r="D251" s="6">
        <v>5101</v>
      </c>
      <c r="E251" s="7" t="str">
        <f>IFERROR(VLOOKUP(D251,'[1]دليل الحسابات'!$A$5:$E$102,2,0),"")</f>
        <v>المشتريات</v>
      </c>
      <c r="F251" s="8">
        <v>1050</v>
      </c>
      <c r="G251" s="8"/>
      <c r="H251" s="9" t="s">
        <v>77</v>
      </c>
    </row>
    <row r="252" spans="2:8">
      <c r="B252" s="5">
        <v>46220</v>
      </c>
      <c r="C252" s="6">
        <v>132.69999999999999</v>
      </c>
      <c r="D252" s="6">
        <v>2212</v>
      </c>
      <c r="E252" s="7" t="s">
        <v>106</v>
      </c>
      <c r="F252" s="8"/>
      <c r="G252" s="8">
        <v>1050</v>
      </c>
      <c r="H252" s="9" t="s">
        <v>78</v>
      </c>
    </row>
    <row r="253" spans="2:8">
      <c r="B253" s="5">
        <v>46220</v>
      </c>
      <c r="C253" s="6">
        <v>133.231547619048</v>
      </c>
      <c r="D253" s="6">
        <v>5101</v>
      </c>
      <c r="E253" s="7" t="str">
        <f>IFERROR(VLOOKUP(D253,'[1]دليل الحسابات'!$A$5:$E$102,2,0),"")</f>
        <v>المشتريات</v>
      </c>
      <c r="F253" s="8">
        <v>585</v>
      </c>
      <c r="G253" s="8"/>
      <c r="H253" s="9" t="s">
        <v>79</v>
      </c>
    </row>
    <row r="254" spans="2:8">
      <c r="B254" s="5">
        <v>46220</v>
      </c>
      <c r="C254" s="6">
        <v>133.76309523809499</v>
      </c>
      <c r="D254" s="6">
        <v>2212</v>
      </c>
      <c r="E254" s="7" t="s">
        <v>106</v>
      </c>
      <c r="F254" s="8"/>
      <c r="G254" s="8">
        <v>585</v>
      </c>
      <c r="H254" s="9" t="s">
        <v>79</v>
      </c>
    </row>
    <row r="255" spans="2:8">
      <c r="B255" s="5">
        <v>46220</v>
      </c>
      <c r="C255" s="6">
        <v>134.294642857143</v>
      </c>
      <c r="D255" s="6">
        <v>5101</v>
      </c>
      <c r="E255" s="7" t="str">
        <f>IFERROR(VLOOKUP(D255,'[1]دليل الحسابات'!$A$5:$E$102,2,0),"")</f>
        <v>المشتريات</v>
      </c>
      <c r="F255" s="8">
        <v>4720</v>
      </c>
      <c r="G255" s="8"/>
      <c r="H255" s="9" t="s">
        <v>80</v>
      </c>
    </row>
    <row r="256" spans="2:8">
      <c r="B256" s="5">
        <v>46220</v>
      </c>
      <c r="C256" s="6">
        <v>134.82619047618999</v>
      </c>
      <c r="D256" s="6">
        <v>2212</v>
      </c>
      <c r="E256" s="7" t="s">
        <v>106</v>
      </c>
      <c r="F256" s="8"/>
      <c r="G256" s="8">
        <v>4720</v>
      </c>
      <c r="H256" s="9" t="s">
        <v>80</v>
      </c>
    </row>
    <row r="257" spans="2:8">
      <c r="B257" s="5">
        <v>46220</v>
      </c>
      <c r="C257" s="6">
        <v>135.35773809523801</v>
      </c>
      <c r="D257" s="6">
        <v>5101</v>
      </c>
      <c r="E257" s="7" t="str">
        <f>IFERROR(VLOOKUP(D257,'[1]دليل الحسابات'!$A$5:$E$102,2,0),"")</f>
        <v>المشتريات</v>
      </c>
      <c r="F257" s="8">
        <v>7033</v>
      </c>
      <c r="G257" s="8"/>
      <c r="H257" s="9" t="s">
        <v>81</v>
      </c>
    </row>
    <row r="258" spans="2:8">
      <c r="B258" s="5">
        <v>46220</v>
      </c>
      <c r="C258" s="6">
        <v>135.88928571428599</v>
      </c>
      <c r="D258" s="6">
        <v>2212</v>
      </c>
      <c r="E258" s="7" t="s">
        <v>106</v>
      </c>
      <c r="F258" s="8"/>
      <c r="G258" s="8">
        <v>7033</v>
      </c>
      <c r="H258" s="9" t="s">
        <v>81</v>
      </c>
    </row>
    <row r="259" spans="2:8">
      <c r="B259" s="5">
        <v>46220</v>
      </c>
      <c r="C259" s="6">
        <v>136.42083333333301</v>
      </c>
      <c r="D259" s="6">
        <v>5101</v>
      </c>
      <c r="E259" s="7" t="str">
        <f>IFERROR(VLOOKUP(D259,'[1]دليل الحسابات'!$A$5:$E$102,2,0),"")</f>
        <v>المشتريات</v>
      </c>
      <c r="F259" s="8">
        <v>1990</v>
      </c>
      <c r="G259" s="8"/>
      <c r="H259" s="9" t="s">
        <v>82</v>
      </c>
    </row>
    <row r="260" spans="2:8">
      <c r="B260" s="5">
        <v>46220</v>
      </c>
      <c r="C260" s="6">
        <v>136.95238095238099</v>
      </c>
      <c r="D260" s="6">
        <v>2212</v>
      </c>
      <c r="E260" s="7" t="s">
        <v>106</v>
      </c>
      <c r="F260" s="8"/>
      <c r="G260" s="8">
        <v>1990</v>
      </c>
      <c r="H260" s="9" t="s">
        <v>83</v>
      </c>
    </row>
    <row r="261" spans="2:8">
      <c r="B261" s="5">
        <v>46220</v>
      </c>
      <c r="C261" s="6">
        <v>137.483928571429</v>
      </c>
      <c r="D261" s="6">
        <v>5101</v>
      </c>
      <c r="E261" s="7" t="str">
        <f>IFERROR(VLOOKUP(D261,'[1]دليل الحسابات'!$A$5:$E$102,2,0),"")</f>
        <v>المشتريات</v>
      </c>
      <c r="F261" s="8">
        <v>12673</v>
      </c>
      <c r="G261" s="8"/>
      <c r="H261" s="9" t="s">
        <v>84</v>
      </c>
    </row>
    <row r="262" spans="2:8">
      <c r="B262" s="5">
        <v>46220</v>
      </c>
      <c r="C262" s="6">
        <v>138.01547619047599</v>
      </c>
      <c r="D262" s="6">
        <v>2212</v>
      </c>
      <c r="E262" s="7" t="s">
        <v>106</v>
      </c>
      <c r="F262" s="8"/>
      <c r="G262" s="8">
        <v>12673</v>
      </c>
      <c r="H262" s="9" t="s">
        <v>84</v>
      </c>
    </row>
    <row r="263" spans="2:8">
      <c r="B263" s="5">
        <v>46220</v>
      </c>
      <c r="C263" s="6">
        <v>138.54702380952401</v>
      </c>
      <c r="D263" s="6">
        <v>5101</v>
      </c>
      <c r="E263" s="7" t="str">
        <f>IFERROR(VLOOKUP(D263,'[1]دليل الحسابات'!$A$5:$E$102,2,0),"")</f>
        <v>المشتريات</v>
      </c>
      <c r="F263" s="8">
        <v>1170</v>
      </c>
      <c r="G263" s="8"/>
      <c r="H263" s="9" t="s">
        <v>85</v>
      </c>
    </row>
    <row r="264" spans="2:8">
      <c r="B264" s="5">
        <v>46220</v>
      </c>
      <c r="C264" s="6">
        <v>139.078571428571</v>
      </c>
      <c r="D264" s="6">
        <v>2212</v>
      </c>
      <c r="E264" s="7" t="s">
        <v>106</v>
      </c>
      <c r="F264" s="8"/>
      <c r="G264" s="8">
        <v>1170</v>
      </c>
      <c r="H264" s="9" t="s">
        <v>85</v>
      </c>
    </row>
    <row r="265" spans="2:8">
      <c r="B265" s="5">
        <v>46220</v>
      </c>
      <c r="C265" s="6">
        <v>139.61011904761901</v>
      </c>
      <c r="D265" s="6">
        <v>5101</v>
      </c>
      <c r="E265" s="7" t="str">
        <f>IFERROR(VLOOKUP(D265,'[1]دليل الحسابات'!$A$5:$E$102,2,0),"")</f>
        <v>المشتريات</v>
      </c>
      <c r="F265" s="8">
        <v>6680</v>
      </c>
      <c r="G265" s="8"/>
      <c r="H265" s="9" t="s">
        <v>86</v>
      </c>
    </row>
    <row r="266" spans="2:8">
      <c r="B266" s="5">
        <v>46220</v>
      </c>
      <c r="C266" s="6">
        <v>140.14166666666699</v>
      </c>
      <c r="D266" s="6">
        <v>2211</v>
      </c>
      <c r="E266" s="7" t="s">
        <v>105</v>
      </c>
      <c r="F266" s="8"/>
      <c r="G266" s="8">
        <v>6680</v>
      </c>
      <c r="H266" s="9" t="s">
        <v>86</v>
      </c>
    </row>
    <row r="267" spans="2:8">
      <c r="B267" s="5">
        <v>46220</v>
      </c>
      <c r="C267" s="6">
        <v>140.67321428571401</v>
      </c>
      <c r="D267" s="6">
        <v>5101</v>
      </c>
      <c r="E267" s="7" t="str">
        <f>IFERROR(VLOOKUP(D267,'[1]دليل الحسابات'!$A$5:$E$102,2,0),"")</f>
        <v>المشتريات</v>
      </c>
      <c r="F267" s="8">
        <v>6630</v>
      </c>
      <c r="G267" s="8"/>
      <c r="H267" s="9" t="s">
        <v>86</v>
      </c>
    </row>
    <row r="268" spans="2:8">
      <c r="B268" s="5">
        <v>46220</v>
      </c>
      <c r="C268" s="6">
        <v>141.20476190476199</v>
      </c>
      <c r="D268" s="6">
        <v>2211</v>
      </c>
      <c r="E268" s="7" t="s">
        <v>105</v>
      </c>
      <c r="F268" s="8"/>
      <c r="G268" s="8">
        <v>6630</v>
      </c>
      <c r="H268" s="9" t="s">
        <v>86</v>
      </c>
    </row>
    <row r="269" spans="2:8">
      <c r="B269" s="5">
        <v>46220</v>
      </c>
      <c r="C269" s="6">
        <v>141.73630952380901</v>
      </c>
      <c r="D269" s="6">
        <v>5101</v>
      </c>
      <c r="E269" s="7" t="str">
        <f>IFERROR(VLOOKUP(D269,'[1]دليل الحسابات'!$A$5:$E$102,2,0),"")</f>
        <v>المشتريات</v>
      </c>
      <c r="F269" s="8">
        <v>2200</v>
      </c>
      <c r="G269" s="8"/>
      <c r="H269" s="9" t="s">
        <v>86</v>
      </c>
    </row>
    <row r="270" spans="2:8">
      <c r="B270" s="5">
        <v>46220</v>
      </c>
      <c r="C270" s="6">
        <v>142.267857142857</v>
      </c>
      <c r="D270" s="6">
        <v>2211</v>
      </c>
      <c r="E270" s="7" t="s">
        <v>105</v>
      </c>
      <c r="F270" s="8"/>
      <c r="G270" s="8">
        <v>2200</v>
      </c>
      <c r="H270" s="9" t="s">
        <v>86</v>
      </c>
    </row>
    <row r="271" spans="2:8">
      <c r="B271" s="5">
        <v>46220</v>
      </c>
      <c r="C271" s="6">
        <v>142.79940476190501</v>
      </c>
      <c r="D271" s="6">
        <v>5101</v>
      </c>
      <c r="E271" s="7" t="str">
        <f>IFERROR(VLOOKUP(D271,'[1]دليل الحسابات'!$A$5:$E$102,2,0),"")</f>
        <v>المشتريات</v>
      </c>
      <c r="F271" s="8">
        <v>5345</v>
      </c>
      <c r="G271" s="8"/>
      <c r="H271" s="9" t="s">
        <v>87</v>
      </c>
    </row>
    <row r="272" spans="2:8">
      <c r="B272" s="5">
        <v>46220</v>
      </c>
      <c r="C272" s="6">
        <v>143.330952380952</v>
      </c>
      <c r="D272" s="6">
        <v>2211</v>
      </c>
      <c r="E272" s="7" t="s">
        <v>105</v>
      </c>
      <c r="F272" s="8"/>
      <c r="G272" s="8">
        <v>5345</v>
      </c>
      <c r="H272" s="9" t="s">
        <v>87</v>
      </c>
    </row>
    <row r="273" spans="2:8">
      <c r="B273" s="5">
        <v>46220</v>
      </c>
      <c r="C273" s="6">
        <v>143.86250000000001</v>
      </c>
      <c r="D273" s="6">
        <v>5101</v>
      </c>
      <c r="E273" s="7" t="str">
        <f>IFERROR(VLOOKUP(D273,'[1]دليل الحسابات'!$A$5:$E$102,2,0),"")</f>
        <v>المشتريات</v>
      </c>
      <c r="F273" s="8">
        <v>2960</v>
      </c>
      <c r="G273" s="8"/>
      <c r="H273" s="9" t="s">
        <v>88</v>
      </c>
    </row>
    <row r="274" spans="2:8">
      <c r="B274" s="5">
        <v>46220</v>
      </c>
      <c r="C274" s="6">
        <v>144.394047619048</v>
      </c>
      <c r="D274" s="6">
        <v>2211</v>
      </c>
      <c r="E274" s="7" t="s">
        <v>105</v>
      </c>
      <c r="F274" s="8"/>
      <c r="G274" s="8">
        <v>2960</v>
      </c>
      <c r="H274" s="9" t="s">
        <v>88</v>
      </c>
    </row>
    <row r="275" spans="2:8">
      <c r="B275" s="5">
        <v>46220</v>
      </c>
      <c r="C275" s="6">
        <v>144.92559523809501</v>
      </c>
      <c r="D275" s="6">
        <v>5101</v>
      </c>
      <c r="E275" s="7" t="str">
        <f>IFERROR(VLOOKUP(D275,'[1]دليل الحسابات'!$A$5:$E$102,2,0),"")</f>
        <v>المشتريات</v>
      </c>
      <c r="F275" s="8">
        <v>1185</v>
      </c>
      <c r="G275" s="8"/>
      <c r="H275" s="9" t="s">
        <v>87</v>
      </c>
    </row>
    <row r="276" spans="2:8">
      <c r="B276" s="5">
        <v>46220</v>
      </c>
      <c r="C276" s="6">
        <v>145.457142857143</v>
      </c>
      <c r="D276" s="6">
        <v>2211</v>
      </c>
      <c r="E276" s="7" t="s">
        <v>105</v>
      </c>
      <c r="F276" s="8"/>
      <c r="G276" s="8">
        <v>1185</v>
      </c>
      <c r="H276" s="9" t="s">
        <v>87</v>
      </c>
    </row>
    <row r="277" spans="2:8">
      <c r="B277" s="5">
        <v>46220</v>
      </c>
      <c r="C277" s="6">
        <v>145.98869047618999</v>
      </c>
      <c r="D277" s="6">
        <v>5101</v>
      </c>
      <c r="E277" s="7" t="str">
        <f>IFERROR(VLOOKUP(D277,'[1]دليل الحسابات'!$A$5:$E$102,2,0),"")</f>
        <v>المشتريات</v>
      </c>
      <c r="F277" s="8">
        <v>25720</v>
      </c>
      <c r="G277" s="8"/>
      <c r="H277" s="9" t="s">
        <v>89</v>
      </c>
    </row>
    <row r="278" spans="2:8">
      <c r="B278" s="5">
        <v>46220</v>
      </c>
      <c r="C278" s="6">
        <v>146.520238095238</v>
      </c>
      <c r="D278" s="6">
        <v>2211</v>
      </c>
      <c r="E278" s="7" t="s">
        <v>105</v>
      </c>
      <c r="F278" s="8"/>
      <c r="G278" s="8">
        <v>25720</v>
      </c>
      <c r="H278" s="9" t="s">
        <v>89</v>
      </c>
    </row>
    <row r="279" spans="2:8">
      <c r="B279" s="5">
        <v>46220</v>
      </c>
      <c r="C279" s="6">
        <v>147.05178571428601</v>
      </c>
      <c r="D279" s="6">
        <v>5101</v>
      </c>
      <c r="E279" s="7" t="str">
        <f>IFERROR(VLOOKUP(D279,'[1]دليل الحسابات'!$A$5:$E$102,2,0),"")</f>
        <v>المشتريات</v>
      </c>
      <c r="F279" s="8">
        <v>14550</v>
      </c>
      <c r="G279" s="8"/>
      <c r="H279" s="9" t="s">
        <v>89</v>
      </c>
    </row>
    <row r="280" spans="2:8">
      <c r="B280" s="5">
        <v>46220</v>
      </c>
      <c r="C280" s="6">
        <v>147.583333333333</v>
      </c>
      <c r="D280" s="6">
        <v>2211</v>
      </c>
      <c r="E280" s="7" t="s">
        <v>105</v>
      </c>
      <c r="F280" s="8"/>
      <c r="G280" s="8">
        <v>14550</v>
      </c>
      <c r="H280" s="9" t="s">
        <v>89</v>
      </c>
    </row>
    <row r="281" spans="2:8">
      <c r="B281" s="5">
        <v>46220</v>
      </c>
      <c r="C281" s="6">
        <v>148.11488095238099</v>
      </c>
      <c r="D281" s="6">
        <v>5101</v>
      </c>
      <c r="E281" s="7" t="str">
        <f>IFERROR(VLOOKUP(D281,'[1]دليل الحسابات'!$A$5:$E$102,2,0),"")</f>
        <v>المشتريات</v>
      </c>
      <c r="F281" s="8">
        <v>10890</v>
      </c>
      <c r="G281" s="8"/>
      <c r="H281" s="9" t="s">
        <v>89</v>
      </c>
    </row>
    <row r="282" spans="2:8">
      <c r="B282" s="5">
        <v>46220</v>
      </c>
      <c r="C282" s="6">
        <v>148.646428571428</v>
      </c>
      <c r="D282" s="6">
        <v>2211</v>
      </c>
      <c r="E282" s="7" t="s">
        <v>105</v>
      </c>
      <c r="F282" s="8"/>
      <c r="G282" s="8">
        <v>10890</v>
      </c>
      <c r="H282" s="9" t="s">
        <v>89</v>
      </c>
    </row>
    <row r="283" spans="2:8">
      <c r="B283" s="5">
        <v>46220</v>
      </c>
      <c r="C283" s="6">
        <v>149.17797619047599</v>
      </c>
      <c r="D283" s="6">
        <v>5101</v>
      </c>
      <c r="E283" s="7" t="str">
        <f>IFERROR(VLOOKUP(D283,'[1]دليل الحسابات'!$A$5:$E$102,2,0),"")</f>
        <v>المشتريات</v>
      </c>
      <c r="F283" s="8">
        <v>19540</v>
      </c>
      <c r="G283" s="8"/>
      <c r="H283" s="9" t="s">
        <v>90</v>
      </c>
    </row>
    <row r="284" spans="2:8">
      <c r="B284" s="5">
        <v>46220</v>
      </c>
      <c r="C284" s="6">
        <v>149.709523809524</v>
      </c>
      <c r="D284" s="6">
        <v>2211</v>
      </c>
      <c r="E284" s="7" t="s">
        <v>105</v>
      </c>
      <c r="F284" s="8"/>
      <c r="G284" s="8">
        <v>19540</v>
      </c>
      <c r="H284" s="9" t="s">
        <v>90</v>
      </c>
    </row>
    <row r="285" spans="2:8">
      <c r="B285" s="5">
        <v>46220</v>
      </c>
      <c r="C285" s="6">
        <v>150.24107142857099</v>
      </c>
      <c r="D285" s="6">
        <v>5101</v>
      </c>
      <c r="E285" s="7" t="str">
        <f>IFERROR(VLOOKUP(D285,'[1]دليل الحسابات'!$A$5:$E$102,2,0),"")</f>
        <v>المشتريات</v>
      </c>
      <c r="F285" s="8">
        <v>10550</v>
      </c>
      <c r="G285" s="8"/>
      <c r="H285" s="9" t="s">
        <v>91</v>
      </c>
    </row>
    <row r="286" spans="2:8">
      <c r="B286" s="5">
        <v>46220</v>
      </c>
      <c r="C286" s="6">
        <v>150.772619047619</v>
      </c>
      <c r="D286" s="6">
        <v>2211</v>
      </c>
      <c r="E286" s="7" t="s">
        <v>105</v>
      </c>
      <c r="F286" s="8"/>
      <c r="G286" s="8">
        <v>10550</v>
      </c>
      <c r="H286" s="9" t="s">
        <v>91</v>
      </c>
    </row>
    <row r="287" spans="2:8">
      <c r="B287" s="5">
        <v>46220</v>
      </c>
      <c r="C287" s="6">
        <v>151.30416666666699</v>
      </c>
      <c r="D287" s="6">
        <v>2211</v>
      </c>
      <c r="E287" s="7" t="s">
        <v>105</v>
      </c>
      <c r="F287" s="8">
        <v>3350</v>
      </c>
      <c r="G287" s="8"/>
      <c r="H287" s="9" t="s">
        <v>92</v>
      </c>
    </row>
    <row r="288" spans="2:8">
      <c r="B288" s="5">
        <v>46220</v>
      </c>
      <c r="C288" s="6">
        <v>151.835714285714</v>
      </c>
      <c r="D288" s="6">
        <v>5101</v>
      </c>
      <c r="E288" s="7" t="str">
        <f>IFERROR(VLOOKUP(D288,'[1]دليل الحسابات'!$A$5:$E$102,2,0),"")</f>
        <v>المشتريات</v>
      </c>
      <c r="F288" s="8"/>
      <c r="G288" s="8">
        <v>3350</v>
      </c>
      <c r="H288" s="9" t="s">
        <v>92</v>
      </c>
    </row>
    <row r="289" spans="2:8">
      <c r="B289" s="5">
        <v>46220</v>
      </c>
      <c r="C289" s="6">
        <v>152.36726190476199</v>
      </c>
      <c r="D289" s="6">
        <v>5101</v>
      </c>
      <c r="E289" s="7" t="str">
        <f>IFERROR(VLOOKUP(D289,'[1]دليل الحسابات'!$A$5:$E$102,2,0),"")</f>
        <v>المشتريات</v>
      </c>
      <c r="F289" s="8">
        <v>4600</v>
      </c>
      <c r="G289" s="8"/>
      <c r="H289" s="9" t="s">
        <v>91</v>
      </c>
    </row>
    <row r="290" spans="2:8">
      <c r="B290" s="5">
        <v>46220</v>
      </c>
      <c r="C290" s="6">
        <v>152.89880952380901</v>
      </c>
      <c r="D290" s="6">
        <v>2211</v>
      </c>
      <c r="E290" s="7" t="s">
        <v>105</v>
      </c>
      <c r="F290" s="8"/>
      <c r="G290" s="8">
        <v>4600</v>
      </c>
      <c r="H290" s="9" t="s">
        <v>91</v>
      </c>
    </row>
    <row r="291" spans="2:8">
      <c r="B291" s="5">
        <v>46220</v>
      </c>
      <c r="C291" s="6">
        <v>153.43035714285699</v>
      </c>
      <c r="D291" s="6">
        <v>5101</v>
      </c>
      <c r="E291" s="7" t="str">
        <f>IFERROR(VLOOKUP(D291,'[1]دليل الحسابات'!$A$5:$E$102,2,0),"")</f>
        <v>المشتريات</v>
      </c>
      <c r="F291" s="8">
        <v>860</v>
      </c>
      <c r="G291" s="8"/>
      <c r="H291" s="9" t="s">
        <v>89</v>
      </c>
    </row>
    <row r="292" spans="2:8">
      <c r="B292" s="5">
        <v>46220</v>
      </c>
      <c r="C292" s="6">
        <v>153.961904761905</v>
      </c>
      <c r="D292" s="6">
        <v>2211</v>
      </c>
      <c r="E292" s="7" t="s">
        <v>105</v>
      </c>
      <c r="F292" s="8"/>
      <c r="G292" s="8">
        <v>860</v>
      </c>
      <c r="H292" s="9" t="s">
        <v>89</v>
      </c>
    </row>
    <row r="293" spans="2:8">
      <c r="B293" s="5">
        <v>46220</v>
      </c>
      <c r="C293" s="6">
        <v>154.49345238095199</v>
      </c>
      <c r="D293" s="6">
        <v>5101</v>
      </c>
      <c r="E293" s="7" t="str">
        <f>IFERROR(VLOOKUP(D293,'[1]دليل الحسابات'!$A$5:$E$102,2,0),"")</f>
        <v>المشتريات</v>
      </c>
      <c r="F293" s="8">
        <v>7150</v>
      </c>
      <c r="G293" s="8"/>
      <c r="H293" s="9" t="s">
        <v>91</v>
      </c>
    </row>
    <row r="294" spans="2:8">
      <c r="B294" s="5">
        <v>46220</v>
      </c>
      <c r="C294" s="6">
        <v>155.02500000000001</v>
      </c>
      <c r="D294" s="6">
        <v>2211</v>
      </c>
      <c r="E294" s="7" t="s">
        <v>105</v>
      </c>
      <c r="F294" s="8"/>
      <c r="G294" s="8">
        <v>7150</v>
      </c>
      <c r="H294" s="9" t="s">
        <v>91</v>
      </c>
    </row>
    <row r="295" spans="2:8">
      <c r="B295" s="5">
        <v>46220</v>
      </c>
      <c r="C295" s="6">
        <v>155.55654761904799</v>
      </c>
      <c r="D295" s="6">
        <v>5101</v>
      </c>
      <c r="E295" s="7" t="str">
        <f>IFERROR(VLOOKUP(D295,'[1]دليل الحسابات'!$A$5:$E$102,2,0),"")</f>
        <v>المشتريات</v>
      </c>
      <c r="F295" s="8">
        <v>5820</v>
      </c>
      <c r="G295" s="8"/>
      <c r="H295" s="9" t="s">
        <v>89</v>
      </c>
    </row>
    <row r="296" spans="2:8">
      <c r="B296" s="5">
        <v>46220</v>
      </c>
      <c r="C296" s="6">
        <v>156.08809523809501</v>
      </c>
      <c r="D296" s="6">
        <v>2211</v>
      </c>
      <c r="E296" s="7" t="s">
        <v>105</v>
      </c>
      <c r="F296" s="8"/>
      <c r="G296" s="8">
        <v>5820</v>
      </c>
      <c r="H296" s="9" t="s">
        <v>89</v>
      </c>
    </row>
    <row r="297" spans="2:8">
      <c r="B297" s="5">
        <v>46220</v>
      </c>
      <c r="C297" s="6">
        <v>156.61964285714299</v>
      </c>
      <c r="D297" s="6">
        <v>5101</v>
      </c>
      <c r="E297" s="7" t="str">
        <f>IFERROR(VLOOKUP(D297,'[1]دليل الحسابات'!$A$5:$E$102,2,0),"")</f>
        <v>المشتريات</v>
      </c>
      <c r="F297" s="8">
        <v>2400</v>
      </c>
      <c r="G297" s="8"/>
      <c r="H297" s="9" t="s">
        <v>91</v>
      </c>
    </row>
    <row r="298" spans="2:8">
      <c r="B298" s="5">
        <v>46220</v>
      </c>
      <c r="C298" s="6">
        <v>157.15119047619001</v>
      </c>
      <c r="D298" s="6">
        <v>2211</v>
      </c>
      <c r="E298" s="7" t="s">
        <v>105</v>
      </c>
      <c r="F298" s="8"/>
      <c r="G298" s="8">
        <v>2400</v>
      </c>
      <c r="H298" s="9" t="s">
        <v>91</v>
      </c>
    </row>
    <row r="299" spans="2:8">
      <c r="B299" s="5">
        <v>46272</v>
      </c>
      <c r="C299" s="6">
        <v>157.68273809523799</v>
      </c>
      <c r="D299" s="6">
        <v>1211</v>
      </c>
      <c r="E299" s="7" t="s">
        <v>102</v>
      </c>
      <c r="F299" s="8">
        <v>29000</v>
      </c>
      <c r="G299" s="8"/>
      <c r="H299" s="9" t="s">
        <v>93</v>
      </c>
    </row>
    <row r="300" spans="2:8" ht="17.399999999999999">
      <c r="B300" s="5">
        <v>46272</v>
      </c>
      <c r="C300" s="6">
        <v>158.21428571428601</v>
      </c>
      <c r="D300" s="6">
        <v>4001</v>
      </c>
      <c r="E300" s="11" t="s">
        <v>98</v>
      </c>
      <c r="F300" s="8"/>
      <c r="G300" s="8">
        <v>29000</v>
      </c>
      <c r="H300" s="9" t="s">
        <v>93</v>
      </c>
    </row>
    <row r="301" spans="2:8">
      <c r="B301" s="5">
        <v>46219</v>
      </c>
      <c r="C301" s="6">
        <v>158.745833333333</v>
      </c>
      <c r="D301" s="6">
        <v>1211</v>
      </c>
      <c r="E301" s="7" t="s">
        <v>102</v>
      </c>
      <c r="F301" s="8">
        <v>2400</v>
      </c>
      <c r="G301" s="8"/>
      <c r="H301" s="9" t="s">
        <v>94</v>
      </c>
    </row>
    <row r="302" spans="2:8" ht="17.399999999999999">
      <c r="B302" s="5">
        <v>46219</v>
      </c>
      <c r="C302" s="6">
        <v>159.27738095238101</v>
      </c>
      <c r="D302" s="6">
        <v>4001</v>
      </c>
      <c r="E302" s="11" t="s">
        <v>98</v>
      </c>
      <c r="F302" s="8"/>
      <c r="G302" s="8">
        <v>2400</v>
      </c>
      <c r="H302" s="9" t="s">
        <v>94</v>
      </c>
    </row>
  </sheetData>
  <autoFilter ref="B2:H302" xr:uid="{9A10BBC1-C1E5-406F-ACCB-ABF92E7F8642}"/>
  <conditionalFormatting sqref="E69 E71 E77 E95 E105 E145 E165 E168:E169 E185 E191 E204 E211 E217 E243 E232 E301 E234 E97 E107 E125 E142:E143 E153 E161 E171 E183 E213 E127 E189 E209 E249:E299">
    <cfRule type="expression" dxfId="4" priority="46">
      <formula>AND($C69&lt;&gt;"",$D69="")</formula>
    </cfRule>
  </conditionalFormatting>
  <conditionalFormatting sqref="F3:G302">
    <cfRule type="expression" dxfId="3" priority="51">
      <formula>AND(#REF!&gt;0,$F3&gt;0)</formula>
    </cfRule>
  </conditionalFormatting>
  <conditionalFormatting sqref="D142 D204 D232 D299 D301">
    <cfRule type="expression" dxfId="2" priority="54">
      <formula>#REF!="غير نشط"</formula>
    </cfRule>
  </conditionalFormatting>
  <conditionalFormatting sqref="E142 F233:H233 D243:E243 D211:E211 D191:E191 D185:E185 D168:E169 D165:E165 D155 D145:E145 D105:E105 D95:E95 D77:E77 D71:E71 D69:E69 F235:H298 D217:E217 E204 B3:C302 D300 F300:H300 D302 F302:H302 F3:H231 E232:H232 E299:H299 E301:H301 D234:H234 D97:E97 D107:E107 D125:E125 D143:E143 D153:E153 D161:E161 D171:E171 D183:E183 D213:E213 D127:E127 D189:E189 D209:E209 D249:E298">
    <cfRule type="expression" dxfId="1" priority="59">
      <formula>#REF!="غير متوازن"</formula>
    </cfRule>
    <cfRule type="expression" dxfId="0" priority="60">
      <formula>AND($B3&lt;&gt;"",#REF!=0,$F3=0)</formula>
    </cfRule>
  </conditionalFormatting>
  <dataValidations count="4">
    <dataValidation type="decimal" operator="greaterThanOrEqual" allowBlank="1" showInputMessage="1" showErrorMessage="1" errorTitle="مبلغ غير صحيح" error="يرجى إدخال مبلغ موجب أو صفر فقط." promptTitle="قيمة مالية" prompt="أدخل المبلغ في المدين أو الدائن فقط." sqref="F3:G302" xr:uid="{7850ABF4-0794-4060-ACFB-ED1E8BDD0425}">
      <formula1>0</formula1>
      <formula2>0</formula2>
    </dataValidation>
    <dataValidation type="date" allowBlank="1" showInputMessage="1" showErrorMessage="1" errorTitle="تاريخ غير صحيح" error="أدخل تاريخًا بين 2020 و2100." promptTitle="تاريخ القيد" prompt="أدخل تاريخ القيد بالتنسيق يوم/شهر/سنة." sqref="B3:B302" xr:uid="{FC3044C1-AE66-48EB-923D-E21DBBFD4B74}">
      <formula1>DATE(2020,1,1)</formula1>
      <formula2>DATE(2100,12,31)</formula2>
    </dataValidation>
    <dataValidation type="list" allowBlank="1" sqref="D97 D213 D232 D211 D243 D183 D168:D169 D165 D234 D161 D189 D77 D204 D95 D105 D69 D127 D107 D209 D153 D71 D155 D145 D191 D171 D185 D125 D143 D217 D249:D302" xr:uid="{D01A0CB3-D779-4795-994A-5F8BA9E0214E}">
      <formula1>AccountCodes</formula1>
    </dataValidation>
    <dataValidation type="list" allowBlank="1" showInputMessage="1" showErrorMessage="1" errorTitle="قيمة غير مسموح بها" error="يرجى الاختيار من القائمة المحددة فقط." promptTitle="قائمة اختيار" prompt="اختر كود الحساب من دليل الحسابات." sqref="D209 D107 D145 D234 D155 D243 D183 D161 D95 D185 D125 D143 D69 D168:D169 D189 D165 D217 D153 D77 D127 D171 D302 D105 D211 D97 D191 D71 D213 D300 D249:D298" xr:uid="{DDDA10A1-3C52-47FA-AF5A-9CC30A6B5B2E}">
      <formula1>AccountCodes</formula1>
      <formula2>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ali</dc:creator>
  <cp:lastModifiedBy>hossam ali</cp:lastModifiedBy>
  <dcterms:created xsi:type="dcterms:W3CDTF">2026-09-05T07:10:44Z</dcterms:created>
  <dcterms:modified xsi:type="dcterms:W3CDTF">2026-09-09T14:23:22Z</dcterms:modified>
</cp:coreProperties>
</file>